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GitHub Project\A_DATA ANALYST SIMULATION\DAY 1\"/>
    </mc:Choice>
  </mc:AlternateContent>
  <xr:revisionPtr revIDLastSave="0" documentId="13_ncr:1_{F4AB2D60-C290-4078-BCD7-FA026A5789D8}" xr6:coauthVersionLast="47" xr6:coauthVersionMax="47" xr10:uidLastSave="{00000000-0000-0000-0000-000000000000}"/>
  <bookViews>
    <workbookView xWindow="-110" yWindow="-110" windowWidth="19420" windowHeight="11500" activeTab="2" xr2:uid="{08D0AC8F-7925-4A34-8A63-AB6EB2668BF9}"/>
  </bookViews>
  <sheets>
    <sheet name="Employee Data" sheetId="2" r:id="rId1"/>
    <sheet name="PivotTable" sheetId="1" r:id="rId2"/>
    <sheet name="Dashboard" sheetId="4" r:id="rId3"/>
  </sheets>
  <definedNames>
    <definedName name="_xlchart.v1.0" hidden="1">PivotTable!$R$4:$R$109</definedName>
    <definedName name="ExternalData_1" localSheetId="0" hidden="1">'Employee Data'!$A$1:$F$107</definedName>
    <definedName name="Slicer_DEPARTMENT_NAM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1" l="1"/>
  <c r="H19" i="1"/>
  <c r="H20" i="1"/>
  <c r="H21" i="1"/>
  <c r="H22" i="1"/>
  <c r="H23" i="1"/>
  <c r="H24" i="1"/>
  <c r="H25" i="1"/>
  <c r="H26" i="1"/>
  <c r="H27" i="1"/>
  <c r="H17" i="1"/>
  <c r="G27" i="1"/>
  <c r="G18" i="1"/>
  <c r="G19" i="1"/>
  <c r="G20" i="1"/>
  <c r="G21" i="1"/>
  <c r="G22" i="1"/>
  <c r="G23" i="1"/>
  <c r="G24" i="1"/>
  <c r="G25" i="1"/>
  <c r="G26" i="1"/>
  <c r="G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DC1D92-1050-40D1-A62B-F54BAEBE4906}" keepAlive="1" name="Query - department_and_location_efficiency" description="Connection to the 'department_and_location_efficiency' query in the workbook." type="5" refreshedVersion="8" background="1" saveData="1">
    <dbPr connection="Provider=Microsoft.Mashup.OleDb.1;Data Source=$Workbook$;Location=department_and_location_efficiency;Extended Properties=&quot;&quot;" command="SELECT * FROM [department_and_location_efficiency]"/>
  </connection>
  <connection id="2" xr16:uid="{A67DB49A-BC37-4A6E-A702-16913980307C}" keepAlive="1" name="Query - employee_salary_and_job_title" description="Connection to the 'employee_salary_and_job_title' query in the workbook." type="5" refreshedVersion="8" background="1" saveData="1">
    <dbPr connection="Provider=Microsoft.Mashup.OleDb.1;Data Source=$Workbook$;Location=employee_salary_and_job_title;Extended Properties=&quot;&quot;" command="SELECT * FROM [employee_salary_and_job_title]"/>
  </connection>
</connections>
</file>

<file path=xl/sharedStrings.xml><?xml version="1.0" encoding="utf-8"?>
<sst xmlns="http://schemas.openxmlformats.org/spreadsheetml/2006/main" count="489" uniqueCount="163">
  <si>
    <t>FULL_NAME</t>
  </si>
  <si>
    <t>JOB_TITLE</t>
  </si>
  <si>
    <t>DEPARTMENT_NAME</t>
  </si>
  <si>
    <t>HIRE_DATE</t>
  </si>
  <si>
    <t>SALARY</t>
  </si>
  <si>
    <t>YEARS_OF_SERVICE</t>
  </si>
  <si>
    <t>William Gietz</t>
  </si>
  <si>
    <t>Public Accountant</t>
  </si>
  <si>
    <t>Accounting</t>
  </si>
  <si>
    <t>Shelley Higgins</t>
  </si>
  <si>
    <t>Accounting Manager</t>
  </si>
  <si>
    <t>Jennifer Whalen</t>
  </si>
  <si>
    <t>Administration Assistant</t>
  </si>
  <si>
    <t>Administration</t>
  </si>
  <si>
    <t>Steven King</t>
  </si>
  <si>
    <t>President</t>
  </si>
  <si>
    <t>Executive</t>
  </si>
  <si>
    <t>Lex Garcia</t>
  </si>
  <si>
    <t>Administration Vice President</t>
  </si>
  <si>
    <t>Neena Yang</t>
  </si>
  <si>
    <t>John Chen</t>
  </si>
  <si>
    <t>Accountant</t>
  </si>
  <si>
    <t>Finance</t>
  </si>
  <si>
    <t>Daniel Faviet</t>
  </si>
  <si>
    <t>Luis Popp</t>
  </si>
  <si>
    <t>Ismael Sciarra</t>
  </si>
  <si>
    <t>Jose Manuel Urman</t>
  </si>
  <si>
    <t>Nancy Gruenberg</t>
  </si>
  <si>
    <t>Finance Manager</t>
  </si>
  <si>
    <t>Susan Jacobs</t>
  </si>
  <si>
    <t>Human Resources Representative</t>
  </si>
  <si>
    <t>Human Resources</t>
  </si>
  <si>
    <t>Alexander James</t>
  </si>
  <si>
    <t>Programmer</t>
  </si>
  <si>
    <t>IT</t>
  </si>
  <si>
    <t>Bruce Miller</t>
  </si>
  <si>
    <t>Diana Nguyen</t>
  </si>
  <si>
    <t>Valli Jackson</t>
  </si>
  <si>
    <t>David Williams</t>
  </si>
  <si>
    <t>Michael Martinez</t>
  </si>
  <si>
    <t>Marketing Manager</t>
  </si>
  <si>
    <t>Marketing</t>
  </si>
  <si>
    <t>Pat Davis</t>
  </si>
  <si>
    <t>Marketing Representative</t>
  </si>
  <si>
    <t>Hermann Brown</t>
  </si>
  <si>
    <t>Public Relations Representative</t>
  </si>
  <si>
    <t>Public Relations</t>
  </si>
  <si>
    <t>Shelli Baida</t>
  </si>
  <si>
    <t>Purchasing Clerk</t>
  </si>
  <si>
    <t>Purchasing</t>
  </si>
  <si>
    <t>Alexander Khoo</t>
  </si>
  <si>
    <t>Sigal Tobias</t>
  </si>
  <si>
    <t>Guy Himuro</t>
  </si>
  <si>
    <t>Karen Colmenares</t>
  </si>
  <si>
    <t>Den Li</t>
  </si>
  <si>
    <t>Purchasing Manager</t>
  </si>
  <si>
    <t>Gerald Cambrault</t>
  </si>
  <si>
    <t>Sales Manager</t>
  </si>
  <si>
    <t>Sales</t>
  </si>
  <si>
    <t>Alberto Errazuriz</t>
  </si>
  <si>
    <t>Karen Partners</t>
  </si>
  <si>
    <t>John Singh</t>
  </si>
  <si>
    <t>Eleni Zlotkey</t>
  </si>
  <si>
    <t>Oliver Tuvault</t>
  </si>
  <si>
    <t>Sales Representative</t>
  </si>
  <si>
    <t>Janette King</t>
  </si>
  <si>
    <t>Patrick Sully</t>
  </si>
  <si>
    <t>Allan McEwen</t>
  </si>
  <si>
    <t>Lindsey Smith</t>
  </si>
  <si>
    <t>Louise Doran</t>
  </si>
  <si>
    <t>Sarath Sewall</t>
  </si>
  <si>
    <t>Charles Johnson</t>
  </si>
  <si>
    <t>Danielle Greene</t>
  </si>
  <si>
    <t>Mattea Marvins</t>
  </si>
  <si>
    <t>David Lee</t>
  </si>
  <si>
    <t>Sundar Ande</t>
  </si>
  <si>
    <t>Amit Banda</t>
  </si>
  <si>
    <t>Lisa Ozer</t>
  </si>
  <si>
    <t>Harrison Bloom</t>
  </si>
  <si>
    <t>Tayler Fox</t>
  </si>
  <si>
    <t>William Smith</t>
  </si>
  <si>
    <t>Elizabeth Bates</t>
  </si>
  <si>
    <t>Sundita Kumar</t>
  </si>
  <si>
    <t>Ellen Abel</t>
  </si>
  <si>
    <t>Alyssa Hutton</t>
  </si>
  <si>
    <t>Jonathon Taylor</t>
  </si>
  <si>
    <t>Jack Livingston</t>
  </si>
  <si>
    <t>Nanette Cambrault</t>
  </si>
  <si>
    <t>Christopher Olsen</t>
  </si>
  <si>
    <t>Peter Hall</t>
  </si>
  <si>
    <t>David Bernstein</t>
  </si>
  <si>
    <t>Sean Tucker</t>
  </si>
  <si>
    <t>Clara Vishney</t>
  </si>
  <si>
    <t>Nandita Sarchand</t>
  </si>
  <si>
    <t>Shipping Clerk</t>
  </si>
  <si>
    <t>Shipping</t>
  </si>
  <si>
    <t>Alexis Bull</t>
  </si>
  <si>
    <t>Julia Dellinger</t>
  </si>
  <si>
    <t>Anthony Cabrio</t>
  </si>
  <si>
    <t>Kelly Chung</t>
  </si>
  <si>
    <t>Jennifer Dilly</t>
  </si>
  <si>
    <t>Timothy Venzl</t>
  </si>
  <si>
    <t>Randall Perkins</t>
  </si>
  <si>
    <t>Sarah Bell</t>
  </si>
  <si>
    <t>Britney Everett</t>
  </si>
  <si>
    <t>Samuel McLeod</t>
  </si>
  <si>
    <t>Vance Jones</t>
  </si>
  <si>
    <t>Alana Walsh</t>
  </si>
  <si>
    <t>Kevin Feeney</t>
  </si>
  <si>
    <t>Donald OConnell</t>
  </si>
  <si>
    <t>Douglas Grant</t>
  </si>
  <si>
    <t>Winston Taylor</t>
  </si>
  <si>
    <t>Jean Fleaur</t>
  </si>
  <si>
    <t>Martha Sullivan</t>
  </si>
  <si>
    <t>Girard Geoni</t>
  </si>
  <si>
    <t>TJ Olson</t>
  </si>
  <si>
    <t>Stock Clerk</t>
  </si>
  <si>
    <t>Randall Matos</t>
  </si>
  <si>
    <t>Curtis Davies</t>
  </si>
  <si>
    <t>Trenna Rajs</t>
  </si>
  <si>
    <t>Joshua Patel</t>
  </si>
  <si>
    <t>Julia Nayer</t>
  </si>
  <si>
    <t>Irene Mikkilineni</t>
  </si>
  <si>
    <t>James Landry</t>
  </si>
  <si>
    <t>Steven Markle</t>
  </si>
  <si>
    <t>Laura Bissot</t>
  </si>
  <si>
    <t>Mozhe Atkinson</t>
  </si>
  <si>
    <t>James Marlow</t>
  </si>
  <si>
    <t>Peter Vargas</t>
  </si>
  <si>
    <t>Jason Mallin</t>
  </si>
  <si>
    <t>Michael Rogers</t>
  </si>
  <si>
    <t>Ki Gee</t>
  </si>
  <si>
    <t>Hazel Philtanker</t>
  </si>
  <si>
    <t>Renske Ladwig</t>
  </si>
  <si>
    <t>Stephen Stiles</t>
  </si>
  <si>
    <t>John Seo</t>
  </si>
  <si>
    <t>Kevin Mourgos</t>
  </si>
  <si>
    <t>Stock Manager</t>
  </si>
  <si>
    <t>Shanta Vollman</t>
  </si>
  <si>
    <t>Payam Kaufling</t>
  </si>
  <si>
    <t>Adam Fripp</t>
  </si>
  <si>
    <t>Matthew Weiss</t>
  </si>
  <si>
    <t>Row Labels</t>
  </si>
  <si>
    <t>Grand Total</t>
  </si>
  <si>
    <t>Total Employee</t>
  </si>
  <si>
    <t>Average Salary</t>
  </si>
  <si>
    <t>Job Title</t>
  </si>
  <si>
    <t>Department Name</t>
  </si>
  <si>
    <t>Salary1</t>
  </si>
  <si>
    <t>Years of Service</t>
  </si>
  <si>
    <t>Salary</t>
  </si>
  <si>
    <t>Average Salary by Job Title</t>
  </si>
  <si>
    <t>Average Salary'</t>
  </si>
  <si>
    <t>Total Employee'</t>
  </si>
  <si>
    <t>Average Salary by Department</t>
  </si>
  <si>
    <t>Employee Salary vs Years of Services</t>
  </si>
  <si>
    <t>Sum of SALARY</t>
  </si>
  <si>
    <t>Total Salary</t>
  </si>
  <si>
    <t>Total Employee''</t>
  </si>
  <si>
    <t>Average Year of Service</t>
  </si>
  <si>
    <t>Min of SALARY</t>
  </si>
  <si>
    <t>Max of SALARY</t>
  </si>
  <si>
    <t>Top 3 Highest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</si>
</sst>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00"/>
    <numFmt numFmtId="165" formatCode="0.0,&quot;K&quot;"/>
  </numFmts>
  <fonts count="2" x14ac:knownFonts="1">
    <font>
      <sz val="11"/>
      <color theme="1"/>
      <name val="Calibri"/>
      <family val="2"/>
      <charset val="1"/>
      <scheme val="minor"/>
    </font>
    <font>
      <sz val="8"/>
      <name val="Calibri"/>
      <family val="2"/>
      <charset val="1"/>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2" fontId="0" fillId="0" borderId="0" xfId="0" applyNumberFormat="1"/>
    <xf numFmtId="1" fontId="0" fillId="0" borderId="0" xfId="0" applyNumberFormat="1"/>
    <xf numFmtId="165" fontId="0" fillId="0" borderId="0" xfId="0" applyNumberFormat="1"/>
  </cellXfs>
  <cellStyles count="1">
    <cellStyle name="Normal" xfId="0" builtinId="0"/>
  </cellStyles>
  <dxfs count="12">
    <dxf>
      <numFmt numFmtId="164" formatCode="[$$-409]#,##0.00"/>
    </dxf>
    <dxf>
      <numFmt numFmtId="0" formatCode="General"/>
    </dxf>
    <dxf>
      <numFmt numFmtId="164" formatCode="[$$-409]#,##0.00"/>
    </dxf>
    <dxf>
      <numFmt numFmtId="2" formatCode="0.00"/>
    </dxf>
    <dxf>
      <numFmt numFmtId="164" formatCode="[$$-409]#,##0.00"/>
    </dxf>
    <dxf>
      <numFmt numFmtId="164" formatCode="[$$-409]#,##0.00"/>
    </dxf>
    <dxf>
      <numFmt numFmtId="27" formatCode="dd/mm/yyyy\ hh:mm"/>
    </dxf>
    <dxf>
      <numFmt numFmtId="0" formatCode="General"/>
    </dxf>
    <dxf>
      <numFmt numFmtId="0" formatCode="General"/>
    </dxf>
    <dxf>
      <numFmt numFmtId="0" formatCode="General"/>
    </dxf>
    <dxf>
      <font>
        <sz val="10"/>
        <name val="Calibri"/>
        <family val="2"/>
        <scheme val="minor"/>
      </font>
      <fill>
        <gradientFill degree="90">
          <stop position="0">
            <color rgb="FF002060"/>
          </stop>
          <stop position="1">
            <color theme="4"/>
          </stop>
        </gradientFill>
      </fill>
      <border>
        <left style="thin">
          <color auto="1"/>
        </left>
        <right style="thin">
          <color auto="1"/>
        </right>
        <top style="thin">
          <color auto="1"/>
        </top>
        <bottom style="thin">
          <color auto="1"/>
        </bottom>
      </border>
    </dxf>
    <dxf>
      <fill>
        <patternFill patternType="none">
          <bgColor auto="1"/>
        </patternFill>
      </fill>
    </dxf>
  </dxfs>
  <tableStyles count="2" defaultTableStyle="TableStyleMedium2" defaultPivotStyle="PivotStyleLight16">
    <tableStyle name="Slicer Style 1" pivot="0" table="0" count="1" xr9:uid="{C295F139-823F-4A66-8E2D-3F7874BB1EFE}">
      <tableStyleElement type="wholeTable" dxfId="11"/>
    </tableStyle>
    <tableStyle name="Slicer Style 2" pivot="0" table="0" count="1" xr9:uid="{835C7EE1-36A7-4E5B-8F36-04D8234BB364}">
      <tableStyleElement type="wholeTable" dxfId="10"/>
    </tableStyle>
  </tableStyles>
  <colors>
    <mruColors>
      <color rgb="FFFF66FF"/>
      <color rgb="FF660066"/>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PivotTable!$R$3</c:f>
              <c:strCache>
                <c:ptCount val="1"/>
                <c:pt idx="0">
                  <c:v>Salary</c:v>
                </c:pt>
              </c:strCache>
            </c:strRef>
          </c:tx>
          <c:spPr>
            <a:ln w="19050" cap="rnd">
              <a:noFill/>
              <a:round/>
            </a:ln>
            <a:effectLst/>
          </c:spPr>
          <c:marker>
            <c:symbol val="circle"/>
            <c:size val="6"/>
            <c:spPr>
              <a:solidFill>
                <a:srgbClr val="FF66FF"/>
              </a:solidFill>
              <a:ln w="9525">
                <a:solidFill>
                  <a:srgbClr val="7030A0"/>
                </a:solidFill>
              </a:ln>
              <a:effectLst/>
            </c:spPr>
          </c:marker>
          <c:xVal>
            <c:numRef>
              <c:f>PivotTable!$Q$4:$Q$109</c:f>
              <c:numCache>
                <c:formatCode>General</c:formatCode>
                <c:ptCount val="106"/>
                <c:pt idx="0">
                  <c:v>10</c:v>
                </c:pt>
                <c:pt idx="1">
                  <c:v>9</c:v>
                </c:pt>
                <c:pt idx="2">
                  <c:v>10</c:v>
                </c:pt>
                <c:pt idx="3">
                  <c:v>9</c:v>
                </c:pt>
                <c:pt idx="4">
                  <c:v>12</c:v>
                </c:pt>
                <c:pt idx="5">
                  <c:v>10</c:v>
                </c:pt>
                <c:pt idx="6">
                  <c:v>11</c:v>
                </c:pt>
                <c:pt idx="7">
                  <c:v>10</c:v>
                </c:pt>
                <c:pt idx="8">
                  <c:v>7</c:v>
                </c:pt>
                <c:pt idx="9">
                  <c:v>8</c:v>
                </c:pt>
                <c:pt idx="10">
                  <c:v>10</c:v>
                </c:pt>
                <c:pt idx="11">
                  <c:v>8</c:v>
                </c:pt>
                <c:pt idx="12">
                  <c:v>7</c:v>
                </c:pt>
                <c:pt idx="13">
                  <c:v>9</c:v>
                </c:pt>
                <c:pt idx="14">
                  <c:v>10</c:v>
                </c:pt>
                <c:pt idx="15">
                  <c:v>10</c:v>
                </c:pt>
                <c:pt idx="16">
                  <c:v>13</c:v>
                </c:pt>
                <c:pt idx="17">
                  <c:v>8</c:v>
                </c:pt>
                <c:pt idx="18">
                  <c:v>10</c:v>
                </c:pt>
                <c:pt idx="19">
                  <c:v>7</c:v>
                </c:pt>
                <c:pt idx="20">
                  <c:v>10</c:v>
                </c:pt>
                <c:pt idx="21">
                  <c:v>12</c:v>
                </c:pt>
                <c:pt idx="22">
                  <c:v>8</c:v>
                </c:pt>
                <c:pt idx="23">
                  <c:v>8</c:v>
                </c:pt>
                <c:pt idx="24">
                  <c:v>7</c:v>
                </c:pt>
                <c:pt idx="25">
                  <c:v>7</c:v>
                </c:pt>
                <c:pt idx="26">
                  <c:v>8</c:v>
                </c:pt>
                <c:pt idx="27">
                  <c:v>11</c:v>
                </c:pt>
                <c:pt idx="28">
                  <c:v>8</c:v>
                </c:pt>
                <c:pt idx="29">
                  <c:v>7</c:v>
                </c:pt>
                <c:pt idx="30">
                  <c:v>8</c:v>
                </c:pt>
                <c:pt idx="31">
                  <c:v>9</c:v>
                </c:pt>
                <c:pt idx="32">
                  <c:v>7</c:v>
                </c:pt>
                <c:pt idx="33">
                  <c:v>13</c:v>
                </c:pt>
                <c:pt idx="34">
                  <c:v>9</c:v>
                </c:pt>
                <c:pt idx="35">
                  <c:v>10</c:v>
                </c:pt>
                <c:pt idx="36">
                  <c:v>9</c:v>
                </c:pt>
                <c:pt idx="37">
                  <c:v>8</c:v>
                </c:pt>
                <c:pt idx="38">
                  <c:v>10</c:v>
                </c:pt>
                <c:pt idx="39">
                  <c:v>11</c:v>
                </c:pt>
                <c:pt idx="40">
                  <c:v>11</c:v>
                </c:pt>
                <c:pt idx="41">
                  <c:v>9</c:v>
                </c:pt>
                <c:pt idx="42">
                  <c:v>10</c:v>
                </c:pt>
                <c:pt idx="43">
                  <c:v>12</c:v>
                </c:pt>
                <c:pt idx="44">
                  <c:v>10</c:v>
                </c:pt>
                <c:pt idx="45">
                  <c:v>9</c:v>
                </c:pt>
                <c:pt idx="46">
                  <c:v>11</c:v>
                </c:pt>
                <c:pt idx="47">
                  <c:v>9</c:v>
                </c:pt>
                <c:pt idx="48">
                  <c:v>9</c:v>
                </c:pt>
                <c:pt idx="49">
                  <c:v>9</c:v>
                </c:pt>
                <c:pt idx="50">
                  <c:v>9</c:v>
                </c:pt>
                <c:pt idx="51">
                  <c:v>10</c:v>
                </c:pt>
                <c:pt idx="52">
                  <c:v>8</c:v>
                </c:pt>
                <c:pt idx="53">
                  <c:v>10</c:v>
                </c:pt>
                <c:pt idx="54">
                  <c:v>10</c:v>
                </c:pt>
                <c:pt idx="55">
                  <c:v>9</c:v>
                </c:pt>
                <c:pt idx="56">
                  <c:v>7</c:v>
                </c:pt>
                <c:pt idx="57">
                  <c:v>7</c:v>
                </c:pt>
                <c:pt idx="58">
                  <c:v>10</c:v>
                </c:pt>
                <c:pt idx="59">
                  <c:v>14</c:v>
                </c:pt>
                <c:pt idx="60">
                  <c:v>10</c:v>
                </c:pt>
                <c:pt idx="61">
                  <c:v>10</c:v>
                </c:pt>
                <c:pt idx="62">
                  <c:v>9</c:v>
                </c:pt>
                <c:pt idx="63">
                  <c:v>7</c:v>
                </c:pt>
                <c:pt idx="64">
                  <c:v>8</c:v>
                </c:pt>
                <c:pt idx="65">
                  <c:v>7</c:v>
                </c:pt>
                <c:pt idx="66">
                  <c:v>11</c:v>
                </c:pt>
                <c:pt idx="67">
                  <c:v>11</c:v>
                </c:pt>
                <c:pt idx="68">
                  <c:v>9</c:v>
                </c:pt>
                <c:pt idx="69">
                  <c:v>10</c:v>
                </c:pt>
                <c:pt idx="70">
                  <c:v>13</c:v>
                </c:pt>
                <c:pt idx="71">
                  <c:v>11</c:v>
                </c:pt>
                <c:pt idx="72">
                  <c:v>8</c:v>
                </c:pt>
                <c:pt idx="73">
                  <c:v>10</c:v>
                </c:pt>
                <c:pt idx="74">
                  <c:v>7</c:v>
                </c:pt>
                <c:pt idx="75">
                  <c:v>10</c:v>
                </c:pt>
                <c:pt idx="76">
                  <c:v>11</c:v>
                </c:pt>
                <c:pt idx="77">
                  <c:v>12</c:v>
                </c:pt>
                <c:pt idx="78">
                  <c:v>10</c:v>
                </c:pt>
                <c:pt idx="79">
                  <c:v>9</c:v>
                </c:pt>
                <c:pt idx="80">
                  <c:v>9</c:v>
                </c:pt>
                <c:pt idx="81">
                  <c:v>7</c:v>
                </c:pt>
                <c:pt idx="82">
                  <c:v>12</c:v>
                </c:pt>
                <c:pt idx="83">
                  <c:v>9</c:v>
                </c:pt>
                <c:pt idx="84">
                  <c:v>11</c:v>
                </c:pt>
                <c:pt idx="85">
                  <c:v>9</c:v>
                </c:pt>
                <c:pt idx="86">
                  <c:v>10</c:v>
                </c:pt>
                <c:pt idx="87">
                  <c:v>10</c:v>
                </c:pt>
                <c:pt idx="88">
                  <c:v>13</c:v>
                </c:pt>
                <c:pt idx="89">
                  <c:v>9</c:v>
                </c:pt>
                <c:pt idx="90">
                  <c:v>10</c:v>
                </c:pt>
                <c:pt idx="91">
                  <c:v>10</c:v>
                </c:pt>
                <c:pt idx="92">
                  <c:v>12</c:v>
                </c:pt>
                <c:pt idx="93">
                  <c:v>7</c:v>
                </c:pt>
                <c:pt idx="94">
                  <c:v>7</c:v>
                </c:pt>
                <c:pt idx="95">
                  <c:v>7</c:v>
                </c:pt>
                <c:pt idx="96">
                  <c:v>13</c:v>
                </c:pt>
                <c:pt idx="97">
                  <c:v>9</c:v>
                </c:pt>
                <c:pt idx="98">
                  <c:v>9</c:v>
                </c:pt>
                <c:pt idx="99">
                  <c:v>8</c:v>
                </c:pt>
                <c:pt idx="100">
                  <c:v>12</c:v>
                </c:pt>
                <c:pt idx="101">
                  <c:v>9</c:v>
                </c:pt>
                <c:pt idx="102">
                  <c:v>8</c:v>
                </c:pt>
                <c:pt idx="103">
                  <c:v>13</c:v>
                </c:pt>
                <c:pt idx="104">
                  <c:v>8</c:v>
                </c:pt>
                <c:pt idx="105">
                  <c:v>9</c:v>
                </c:pt>
              </c:numCache>
            </c:numRef>
          </c:xVal>
          <c:yVal>
            <c:numRef>
              <c:f>PivotTable!$R$4:$R$109</c:f>
              <c:numCache>
                <c:formatCode>General</c:formatCode>
                <c:ptCount val="106"/>
                <c:pt idx="0">
                  <c:v>8200</c:v>
                </c:pt>
                <c:pt idx="1">
                  <c:v>3100</c:v>
                </c:pt>
                <c:pt idx="2">
                  <c:v>12000</c:v>
                </c:pt>
                <c:pt idx="3">
                  <c:v>9000</c:v>
                </c:pt>
                <c:pt idx="4">
                  <c:v>3100</c:v>
                </c:pt>
                <c:pt idx="5">
                  <c:v>4100</c:v>
                </c:pt>
                <c:pt idx="6">
                  <c:v>9000</c:v>
                </c:pt>
                <c:pt idx="7">
                  <c:v>8800</c:v>
                </c:pt>
                <c:pt idx="8">
                  <c:v>6200</c:v>
                </c:pt>
                <c:pt idx="9">
                  <c:v>3000</c:v>
                </c:pt>
                <c:pt idx="10">
                  <c:v>3900</c:v>
                </c:pt>
                <c:pt idx="11">
                  <c:v>6000</c:v>
                </c:pt>
                <c:pt idx="12">
                  <c:v>6200</c:v>
                </c:pt>
                <c:pt idx="13">
                  <c:v>8000</c:v>
                </c:pt>
                <c:pt idx="14">
                  <c:v>10500</c:v>
                </c:pt>
                <c:pt idx="15">
                  <c:v>3100</c:v>
                </c:pt>
                <c:pt idx="16">
                  <c:v>9000</c:v>
                </c:pt>
                <c:pt idx="17">
                  <c:v>9500</c:v>
                </c:pt>
                <c:pt idx="18">
                  <c:v>9500</c:v>
                </c:pt>
                <c:pt idx="19">
                  <c:v>6800</c:v>
                </c:pt>
                <c:pt idx="20">
                  <c:v>4800</c:v>
                </c:pt>
                <c:pt idx="21">
                  <c:v>11000</c:v>
                </c:pt>
                <c:pt idx="22">
                  <c:v>4200</c:v>
                </c:pt>
                <c:pt idx="23">
                  <c:v>2600</c:v>
                </c:pt>
                <c:pt idx="24">
                  <c:v>2600</c:v>
                </c:pt>
                <c:pt idx="25">
                  <c:v>10500</c:v>
                </c:pt>
                <c:pt idx="26">
                  <c:v>7300</c:v>
                </c:pt>
                <c:pt idx="27">
                  <c:v>11000</c:v>
                </c:pt>
                <c:pt idx="28">
                  <c:v>11000</c:v>
                </c:pt>
                <c:pt idx="29">
                  <c:v>2800</c:v>
                </c:pt>
                <c:pt idx="30">
                  <c:v>2600</c:v>
                </c:pt>
                <c:pt idx="31">
                  <c:v>10000</c:v>
                </c:pt>
                <c:pt idx="32">
                  <c:v>2200</c:v>
                </c:pt>
                <c:pt idx="33">
                  <c:v>10000</c:v>
                </c:pt>
                <c:pt idx="34">
                  <c:v>2700</c:v>
                </c:pt>
                <c:pt idx="35">
                  <c:v>7700</c:v>
                </c:pt>
                <c:pt idx="36">
                  <c:v>8400</c:v>
                </c:pt>
                <c:pt idx="37">
                  <c:v>2400</c:v>
                </c:pt>
                <c:pt idx="38">
                  <c:v>2500</c:v>
                </c:pt>
                <c:pt idx="39">
                  <c:v>10000</c:v>
                </c:pt>
                <c:pt idx="40">
                  <c:v>3300</c:v>
                </c:pt>
                <c:pt idx="41">
                  <c:v>3100</c:v>
                </c:pt>
                <c:pt idx="42">
                  <c:v>3600</c:v>
                </c:pt>
                <c:pt idx="43">
                  <c:v>4400</c:v>
                </c:pt>
                <c:pt idx="44">
                  <c:v>8200</c:v>
                </c:pt>
                <c:pt idx="45">
                  <c:v>2700</c:v>
                </c:pt>
                <c:pt idx="46">
                  <c:v>14000</c:v>
                </c:pt>
                <c:pt idx="47">
                  <c:v>8600</c:v>
                </c:pt>
                <c:pt idx="48">
                  <c:v>7800</c:v>
                </c:pt>
                <c:pt idx="49">
                  <c:v>2500</c:v>
                </c:pt>
                <c:pt idx="50">
                  <c:v>3400</c:v>
                </c:pt>
                <c:pt idx="51">
                  <c:v>3200</c:v>
                </c:pt>
                <c:pt idx="52">
                  <c:v>2500</c:v>
                </c:pt>
                <c:pt idx="53">
                  <c:v>13500</c:v>
                </c:pt>
                <c:pt idx="54">
                  <c:v>3800</c:v>
                </c:pt>
                <c:pt idx="55">
                  <c:v>3000</c:v>
                </c:pt>
                <c:pt idx="56">
                  <c:v>5800</c:v>
                </c:pt>
                <c:pt idx="57">
                  <c:v>2400</c:v>
                </c:pt>
                <c:pt idx="58">
                  <c:v>3300</c:v>
                </c:pt>
                <c:pt idx="59">
                  <c:v>17000</c:v>
                </c:pt>
                <c:pt idx="60">
                  <c:v>8000</c:v>
                </c:pt>
                <c:pt idx="61">
                  <c:v>11500</c:v>
                </c:pt>
                <c:pt idx="62">
                  <c:v>7500</c:v>
                </c:pt>
                <c:pt idx="63">
                  <c:v>6900</c:v>
                </c:pt>
                <c:pt idx="64">
                  <c:v>2500</c:v>
                </c:pt>
                <c:pt idx="65">
                  <c:v>7200</c:v>
                </c:pt>
                <c:pt idx="66">
                  <c:v>8000</c:v>
                </c:pt>
                <c:pt idx="67">
                  <c:v>13000</c:v>
                </c:pt>
                <c:pt idx="68">
                  <c:v>2900</c:v>
                </c:pt>
                <c:pt idx="69">
                  <c:v>2800</c:v>
                </c:pt>
                <c:pt idx="70">
                  <c:v>12008</c:v>
                </c:pt>
                <c:pt idx="71">
                  <c:v>4200</c:v>
                </c:pt>
                <c:pt idx="72">
                  <c:v>7500</c:v>
                </c:pt>
                <c:pt idx="73">
                  <c:v>17000</c:v>
                </c:pt>
                <c:pt idx="74">
                  <c:v>7000</c:v>
                </c:pt>
                <c:pt idx="75">
                  <c:v>6000</c:v>
                </c:pt>
                <c:pt idx="76">
                  <c:v>9500</c:v>
                </c:pt>
                <c:pt idx="77">
                  <c:v>7900</c:v>
                </c:pt>
                <c:pt idx="78">
                  <c:v>9000</c:v>
                </c:pt>
                <c:pt idx="79">
                  <c:v>2500</c:v>
                </c:pt>
                <c:pt idx="80">
                  <c:v>2600</c:v>
                </c:pt>
                <c:pt idx="81">
                  <c:v>2500</c:v>
                </c:pt>
                <c:pt idx="82">
                  <c:v>3600</c:v>
                </c:pt>
                <c:pt idx="83">
                  <c:v>3200</c:v>
                </c:pt>
                <c:pt idx="84">
                  <c:v>4000</c:v>
                </c:pt>
                <c:pt idx="85">
                  <c:v>7000</c:v>
                </c:pt>
                <c:pt idx="86">
                  <c:v>10000</c:v>
                </c:pt>
                <c:pt idx="87">
                  <c:v>6500</c:v>
                </c:pt>
                <c:pt idx="88">
                  <c:v>12008</c:v>
                </c:pt>
                <c:pt idx="89">
                  <c:v>2900</c:v>
                </c:pt>
                <c:pt idx="90">
                  <c:v>2800</c:v>
                </c:pt>
                <c:pt idx="91">
                  <c:v>3200</c:v>
                </c:pt>
                <c:pt idx="92">
                  <c:v>24000</c:v>
                </c:pt>
                <c:pt idx="93">
                  <c:v>2200</c:v>
                </c:pt>
                <c:pt idx="94">
                  <c:v>6400</c:v>
                </c:pt>
                <c:pt idx="95">
                  <c:v>6100</c:v>
                </c:pt>
                <c:pt idx="96">
                  <c:v>6500</c:v>
                </c:pt>
                <c:pt idx="97">
                  <c:v>9600</c:v>
                </c:pt>
                <c:pt idx="98">
                  <c:v>2900</c:v>
                </c:pt>
                <c:pt idx="99">
                  <c:v>2100</c:v>
                </c:pt>
                <c:pt idx="100">
                  <c:v>3500</c:v>
                </c:pt>
                <c:pt idx="101">
                  <c:v>4800</c:v>
                </c:pt>
                <c:pt idx="102">
                  <c:v>2800</c:v>
                </c:pt>
                <c:pt idx="103">
                  <c:v>8300</c:v>
                </c:pt>
                <c:pt idx="104">
                  <c:v>7400</c:v>
                </c:pt>
                <c:pt idx="105">
                  <c:v>3200</c:v>
                </c:pt>
              </c:numCache>
            </c:numRef>
          </c:yVal>
          <c:smooth val="0"/>
          <c:extLst>
            <c:ext xmlns:c16="http://schemas.microsoft.com/office/drawing/2014/chart" uri="{C3380CC4-5D6E-409C-BE32-E72D297353CC}">
              <c16:uniqueId val="{00000000-A79A-4943-A9F7-997F53917770}"/>
            </c:ext>
          </c:extLst>
        </c:ser>
        <c:dLbls>
          <c:showLegendKey val="0"/>
          <c:showVal val="0"/>
          <c:showCatName val="0"/>
          <c:showSerName val="0"/>
          <c:showPercent val="0"/>
          <c:showBubbleSize val="0"/>
        </c:dLbls>
        <c:axId val="1736591695"/>
        <c:axId val="1736599855"/>
      </c:scatterChart>
      <c:valAx>
        <c:axId val="173659169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6599855"/>
        <c:crosses val="autoZero"/>
        <c:crossBetween val="midCat"/>
      </c:valAx>
      <c:valAx>
        <c:axId val="1736599855"/>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65916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43730209880348"/>
          <c:y val="5.0205910242373988E-2"/>
          <c:w val="0.74402533135315385"/>
          <c:h val="0.80659508289089732"/>
        </c:manualLayout>
      </c:layout>
      <c:barChart>
        <c:barDir val="bar"/>
        <c:grouping val="clustered"/>
        <c:varyColors val="0"/>
        <c:ser>
          <c:idx val="0"/>
          <c:order val="0"/>
          <c:spPr>
            <a:gradFill flip="none" rotWithShape="1">
              <a:gsLst>
                <a:gs pos="0">
                  <a:srgbClr val="FF66FF"/>
                </a:gs>
                <a:gs pos="53000">
                  <a:srgbClr val="7030A0"/>
                </a:gs>
                <a:gs pos="100000">
                  <a:srgbClr val="660066"/>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PivotTable!$G$17:$G$27</c:f>
              <c:strCache>
                <c:ptCount val="11"/>
                <c:pt idx="0">
                  <c:v>Executive</c:v>
                </c:pt>
                <c:pt idx="1">
                  <c:v>Accounting</c:v>
                </c:pt>
                <c:pt idx="2">
                  <c:v>Public Relations</c:v>
                </c:pt>
                <c:pt idx="3">
                  <c:v>Marketing</c:v>
                </c:pt>
                <c:pt idx="4">
                  <c:v>Sales</c:v>
                </c:pt>
                <c:pt idx="5">
                  <c:v>Finance</c:v>
                </c:pt>
                <c:pt idx="6">
                  <c:v>Human Resources</c:v>
                </c:pt>
                <c:pt idx="7">
                  <c:v>IT</c:v>
                </c:pt>
                <c:pt idx="8">
                  <c:v>Administration</c:v>
                </c:pt>
                <c:pt idx="9">
                  <c:v>Purchasing</c:v>
                </c:pt>
                <c:pt idx="10">
                  <c:v>Shipping</c:v>
                </c:pt>
              </c:strCache>
            </c:strRef>
          </c:cat>
          <c:val>
            <c:numRef>
              <c:f>PivotTable!$H$17:$H$27</c:f>
              <c:numCache>
                <c:formatCode>0</c:formatCode>
                <c:ptCount val="11"/>
                <c:pt idx="0">
                  <c:v>19333.333333333332</c:v>
                </c:pt>
                <c:pt idx="1">
                  <c:v>10154</c:v>
                </c:pt>
                <c:pt idx="2">
                  <c:v>10000</c:v>
                </c:pt>
                <c:pt idx="3">
                  <c:v>9500</c:v>
                </c:pt>
                <c:pt idx="4">
                  <c:v>8955.8823529411766</c:v>
                </c:pt>
                <c:pt idx="5">
                  <c:v>8601.3333333333339</c:v>
                </c:pt>
                <c:pt idx="6">
                  <c:v>6500</c:v>
                </c:pt>
                <c:pt idx="7">
                  <c:v>5760</c:v>
                </c:pt>
                <c:pt idx="8">
                  <c:v>4400</c:v>
                </c:pt>
                <c:pt idx="9">
                  <c:v>4150</c:v>
                </c:pt>
                <c:pt idx="10">
                  <c:v>3475.5555555555557</c:v>
                </c:pt>
              </c:numCache>
            </c:numRef>
          </c:val>
          <c:extLst>
            <c:ext xmlns:c16="http://schemas.microsoft.com/office/drawing/2014/chart" uri="{C3380CC4-5D6E-409C-BE32-E72D297353CC}">
              <c16:uniqueId val="{00000000-AC38-4203-8925-89B0DD6548AE}"/>
            </c:ext>
          </c:extLst>
        </c:ser>
        <c:dLbls>
          <c:showLegendKey val="0"/>
          <c:showVal val="0"/>
          <c:showCatName val="0"/>
          <c:showSerName val="0"/>
          <c:showPercent val="0"/>
          <c:showBubbleSize val="0"/>
        </c:dLbls>
        <c:gapWidth val="50"/>
        <c:axId val="491848528"/>
        <c:axId val="491845168"/>
      </c:barChart>
      <c:catAx>
        <c:axId val="49184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491845168"/>
        <c:crosses val="autoZero"/>
        <c:auto val="1"/>
        <c:lblAlgn val="ctr"/>
        <c:lblOffset val="100"/>
        <c:noMultiLvlLbl val="0"/>
      </c:catAx>
      <c:valAx>
        <c:axId val="49184516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184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[employee_sal_and_job.xlsx]PivotTable!PivotTable5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66FF"/>
              </a:gs>
              <a:gs pos="47000">
                <a:srgbClr val="7030A0"/>
              </a:gs>
              <a:gs pos="95000">
                <a:srgbClr val="660066"/>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PivotTable!$U$8</c:f>
              <c:strCache>
                <c:ptCount val="1"/>
                <c:pt idx="0">
                  <c:v>Total</c:v>
                </c:pt>
              </c:strCache>
            </c:strRef>
          </c:tx>
          <c:spPr>
            <a:gradFill flip="none" rotWithShape="1">
              <a:gsLst>
                <a:gs pos="0">
                  <a:srgbClr val="FF66FF"/>
                </a:gs>
                <a:gs pos="47000">
                  <a:srgbClr val="7030A0"/>
                </a:gs>
                <a:gs pos="95000">
                  <a:srgbClr val="660066"/>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PivotTable!$T$9:$T$12</c:f>
              <c:strCache>
                <c:ptCount val="3"/>
                <c:pt idx="0">
                  <c:v>Steven King</c:v>
                </c:pt>
                <c:pt idx="1">
                  <c:v>Lex Garcia</c:v>
                </c:pt>
                <c:pt idx="2">
                  <c:v>Neena Yang</c:v>
                </c:pt>
              </c:strCache>
            </c:strRef>
          </c:cat>
          <c:val>
            <c:numRef>
              <c:f>PivotTable!$U$9:$U$12</c:f>
              <c:numCache>
                <c:formatCode>General</c:formatCode>
                <c:ptCount val="3"/>
                <c:pt idx="0">
                  <c:v>24000</c:v>
                </c:pt>
                <c:pt idx="1">
                  <c:v>17000</c:v>
                </c:pt>
                <c:pt idx="2">
                  <c:v>17000</c:v>
                </c:pt>
              </c:numCache>
            </c:numRef>
          </c:val>
          <c:extLst>
            <c:ext xmlns:c16="http://schemas.microsoft.com/office/drawing/2014/chart" uri="{C3380CC4-5D6E-409C-BE32-E72D297353CC}">
              <c16:uniqueId val="{00000000-7BAB-428A-AF17-22F5D41F0626}"/>
            </c:ext>
          </c:extLst>
        </c:ser>
        <c:dLbls>
          <c:dLblPos val="outEnd"/>
          <c:showLegendKey val="0"/>
          <c:showVal val="1"/>
          <c:showCatName val="0"/>
          <c:showSerName val="0"/>
          <c:showPercent val="0"/>
          <c:showBubbleSize val="0"/>
        </c:dLbls>
        <c:gapWidth val="182"/>
        <c:axId val="476157328"/>
        <c:axId val="476157808"/>
      </c:barChart>
      <c:catAx>
        <c:axId val="47615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6157808"/>
        <c:crosses val="autoZero"/>
        <c:auto val="1"/>
        <c:lblAlgn val="ctr"/>
        <c:lblOffset val="100"/>
        <c:noMultiLvlLbl val="0"/>
      </c:catAx>
      <c:valAx>
        <c:axId val="476157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47615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boxWhisker" uniqueId="{B58E8D00-1530-44F3-A259-5B85C56E4FE9}">
          <cx:spPr>
            <a:gradFill>
              <a:gsLst>
                <a:gs pos="0">
                  <a:srgbClr val="FF66FF"/>
                </a:gs>
                <a:gs pos="59000">
                  <a:srgbClr val="7030A0"/>
                </a:gs>
                <a:gs pos="100000">
                  <a:srgbClr val="660066"/>
                </a:gs>
              </a:gsLst>
              <a:lin ang="5400000" scaled="1"/>
            </a:gradFill>
            <a:ln w="19050">
              <a:solidFill>
                <a:schemeClr val="lt1">
                  <a:shade val="50000"/>
                </a:schemeClr>
              </a:solidFill>
            </a:ln>
          </cx:spPr>
          <cx:dataId val="0"/>
          <cx:layoutPr>
            <cx:visibility meanLine="0" meanMarker="1" nonoutliers="0" outliers="1"/>
            <cx:statistics quartileMethod="exclusive"/>
          </cx:layoutPr>
        </cx:series>
      </cx:plotAreaRegion>
      <cx:axis id="0">
        <cx:catScaling gapWidth="0.860000014"/>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1">
        <cx:valScaling/>
        <cx:tickLabels/>
        <cx:txPr>
          <a:bodyPr spcFirstLastPara="1" vertOverflow="ellipsis" horzOverflow="overflow" wrap="square" lIns="0" tIns="0" rIns="0" bIns="0" anchor="ctr" anchorCtr="1"/>
          <a:lstStyle/>
          <a:p>
            <a:pPr algn="ctr" rtl="0">
              <a:defRPr sz="800">
                <a:solidFill>
                  <a:schemeClr val="bg1"/>
                </a:solidFill>
              </a:defRPr>
            </a:pPr>
            <a:endParaRPr lang="en-US" sz="800" b="0" i="0" u="none" strike="noStrike" baseline="0">
              <a:solidFill>
                <a:schemeClr val="bg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190500</xdr:colOff>
      <xdr:row>0</xdr:row>
      <xdr:rowOff>95250</xdr:rowOff>
    </xdr:from>
    <xdr:to>
      <xdr:col>12</xdr:col>
      <xdr:colOff>88900</xdr:colOff>
      <xdr:row>4</xdr:row>
      <xdr:rowOff>120650</xdr:rowOff>
    </xdr:to>
    <xdr:sp macro="" textlink="">
      <xdr:nvSpPr>
        <xdr:cNvPr id="2" name="Rectangle: Rounded Corners 1">
          <a:extLst>
            <a:ext uri="{FF2B5EF4-FFF2-40B4-BE49-F238E27FC236}">
              <a16:creationId xmlns:a16="http://schemas.microsoft.com/office/drawing/2014/main" id="{DD855493-A1D4-EDA8-1013-BB8450FE70BB}"/>
            </a:ext>
          </a:extLst>
        </xdr:cNvPr>
        <xdr:cNvSpPr/>
      </xdr:nvSpPr>
      <xdr:spPr>
        <a:xfrm>
          <a:off x="1778000" y="95250"/>
          <a:ext cx="5988050" cy="762000"/>
        </a:xfrm>
        <a:prstGeom prst="roundRect">
          <a:avLst/>
        </a:prstGeom>
        <a:gradFill>
          <a:gsLst>
            <a:gs pos="0">
              <a:srgbClr val="00B0F0"/>
            </a:gs>
            <a:gs pos="23000">
              <a:srgbClr val="0070C0"/>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165100</xdr:colOff>
      <xdr:row>4</xdr:row>
      <xdr:rowOff>6350</xdr:rowOff>
    </xdr:from>
    <xdr:to>
      <xdr:col>2</xdr:col>
      <xdr:colOff>44450</xdr:colOff>
      <xdr:row>21</xdr:row>
      <xdr:rowOff>146050</xdr:rowOff>
    </xdr:to>
    <xdr:sp macro="" textlink="">
      <xdr:nvSpPr>
        <xdr:cNvPr id="3" name="Rectangle: Rounded Corners 2">
          <a:extLst>
            <a:ext uri="{FF2B5EF4-FFF2-40B4-BE49-F238E27FC236}">
              <a16:creationId xmlns:a16="http://schemas.microsoft.com/office/drawing/2014/main" id="{2D3CBEF1-F957-49F0-9D3F-45930C23645F}"/>
            </a:ext>
          </a:extLst>
        </xdr:cNvPr>
        <xdr:cNvSpPr/>
      </xdr:nvSpPr>
      <xdr:spPr>
        <a:xfrm>
          <a:off x="165100" y="742950"/>
          <a:ext cx="1466850" cy="3270250"/>
        </a:xfrm>
        <a:prstGeom prst="roundRect">
          <a:avLst>
            <a:gd name="adj" fmla="val 11905"/>
          </a:avLst>
        </a:prstGeom>
        <a:gradFill>
          <a:gsLst>
            <a:gs pos="0">
              <a:srgbClr val="00B0F0"/>
            </a:gs>
            <a:gs pos="23000">
              <a:srgbClr val="0070C0"/>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368300</xdr:colOff>
      <xdr:row>0</xdr:row>
      <xdr:rowOff>152400</xdr:rowOff>
    </xdr:from>
    <xdr:to>
      <xdr:col>10</xdr:col>
      <xdr:colOff>69850</xdr:colOff>
      <xdr:row>3</xdr:row>
      <xdr:rowOff>38100</xdr:rowOff>
    </xdr:to>
    <xdr:sp macro="" textlink="">
      <xdr:nvSpPr>
        <xdr:cNvPr id="4" name="TextBox 3">
          <a:extLst>
            <a:ext uri="{FF2B5EF4-FFF2-40B4-BE49-F238E27FC236}">
              <a16:creationId xmlns:a16="http://schemas.microsoft.com/office/drawing/2014/main" id="{4DD10439-B3DE-6241-769A-524B3EB86528}"/>
            </a:ext>
          </a:extLst>
        </xdr:cNvPr>
        <xdr:cNvSpPr txBox="1"/>
      </xdr:nvSpPr>
      <xdr:spPr>
        <a:xfrm>
          <a:off x="1955800" y="152400"/>
          <a:ext cx="45783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2000">
              <a:solidFill>
                <a:schemeClr val="bg1"/>
              </a:solidFill>
              <a:latin typeface="+mn-lt"/>
            </a:rPr>
            <a:t>Employee Salary and Job Analysis</a:t>
          </a:r>
          <a:endParaRPr lang="en-ID" sz="2000">
            <a:solidFill>
              <a:schemeClr val="bg1"/>
            </a:solidFill>
            <a:latin typeface="+mn-lt"/>
          </a:endParaRPr>
        </a:p>
      </xdr:txBody>
    </xdr:sp>
    <xdr:clientData/>
  </xdr:twoCellAnchor>
  <xdr:twoCellAnchor>
    <xdr:from>
      <xdr:col>2</xdr:col>
      <xdr:colOff>190500</xdr:colOff>
      <xdr:row>8</xdr:row>
      <xdr:rowOff>69850</xdr:rowOff>
    </xdr:from>
    <xdr:to>
      <xdr:col>9</xdr:col>
      <xdr:colOff>127000</xdr:colOff>
      <xdr:row>21</xdr:row>
      <xdr:rowOff>142522</xdr:rowOff>
    </xdr:to>
    <xdr:sp macro="" textlink="">
      <xdr:nvSpPr>
        <xdr:cNvPr id="8" name="Rectangle: Rounded Corners 7">
          <a:extLst>
            <a:ext uri="{FF2B5EF4-FFF2-40B4-BE49-F238E27FC236}">
              <a16:creationId xmlns:a16="http://schemas.microsoft.com/office/drawing/2014/main" id="{45698EEA-9040-4770-BCA5-CEC06973B26C}"/>
            </a:ext>
          </a:extLst>
        </xdr:cNvPr>
        <xdr:cNvSpPr/>
      </xdr:nvSpPr>
      <xdr:spPr>
        <a:xfrm>
          <a:off x="1778000" y="1543050"/>
          <a:ext cx="4203700" cy="2466622"/>
        </a:xfrm>
        <a:prstGeom prst="roundRect">
          <a:avLst>
            <a:gd name="adj" fmla="val 7052"/>
          </a:avLst>
        </a:prstGeom>
        <a:gradFill>
          <a:gsLst>
            <a:gs pos="0">
              <a:srgbClr val="00B0F0"/>
            </a:gs>
            <a:gs pos="23000">
              <a:srgbClr val="0070C0"/>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361950</xdr:colOff>
      <xdr:row>3</xdr:row>
      <xdr:rowOff>114300</xdr:rowOff>
    </xdr:from>
    <xdr:to>
      <xdr:col>5</xdr:col>
      <xdr:colOff>279400</xdr:colOff>
      <xdr:row>7</xdr:row>
      <xdr:rowOff>139700</xdr:rowOff>
    </xdr:to>
    <xdr:sp macro="" textlink="">
      <xdr:nvSpPr>
        <xdr:cNvPr id="9" name="Rectangle: Rounded Corners 8">
          <a:extLst>
            <a:ext uri="{FF2B5EF4-FFF2-40B4-BE49-F238E27FC236}">
              <a16:creationId xmlns:a16="http://schemas.microsoft.com/office/drawing/2014/main" id="{C3B3D2C1-5B47-475A-994F-67CF92B13930}"/>
            </a:ext>
          </a:extLst>
        </xdr:cNvPr>
        <xdr:cNvSpPr/>
      </xdr:nvSpPr>
      <xdr:spPr>
        <a:xfrm>
          <a:off x="1949450" y="666750"/>
          <a:ext cx="1746250" cy="762000"/>
        </a:xfrm>
        <a:prstGeom prst="roundRect">
          <a:avLst/>
        </a:prstGeom>
        <a:gradFill flip="none" rotWithShape="1">
          <a:gsLst>
            <a:gs pos="0">
              <a:srgbClr val="00B0F0"/>
            </a:gs>
            <a:gs pos="23000">
              <a:srgbClr val="0070C0"/>
            </a:gs>
            <a:gs pos="100000">
              <a:schemeClr val="tx1">
                <a:lumMod val="95000"/>
                <a:lumOff val="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482600</xdr:colOff>
      <xdr:row>3</xdr:row>
      <xdr:rowOff>114300</xdr:rowOff>
    </xdr:from>
    <xdr:to>
      <xdr:col>8</xdr:col>
      <xdr:colOff>400050</xdr:colOff>
      <xdr:row>7</xdr:row>
      <xdr:rowOff>139700</xdr:rowOff>
    </xdr:to>
    <xdr:sp macro="" textlink="">
      <xdr:nvSpPr>
        <xdr:cNvPr id="10" name="Rectangle: Rounded Corners 9">
          <a:extLst>
            <a:ext uri="{FF2B5EF4-FFF2-40B4-BE49-F238E27FC236}">
              <a16:creationId xmlns:a16="http://schemas.microsoft.com/office/drawing/2014/main" id="{DF09AB15-63C2-42E2-8D78-FC1A088C6AAD}"/>
            </a:ext>
          </a:extLst>
        </xdr:cNvPr>
        <xdr:cNvSpPr/>
      </xdr:nvSpPr>
      <xdr:spPr>
        <a:xfrm>
          <a:off x="3898900" y="666750"/>
          <a:ext cx="1746250" cy="762000"/>
        </a:xfrm>
        <a:prstGeom prst="roundRect">
          <a:avLst/>
        </a:prstGeom>
        <a:gradFill flip="none" rotWithShape="1">
          <a:gsLst>
            <a:gs pos="0">
              <a:srgbClr val="00B0F0"/>
            </a:gs>
            <a:gs pos="23000">
              <a:srgbClr val="0070C0"/>
            </a:gs>
            <a:gs pos="100000">
              <a:schemeClr val="tx1">
                <a:lumMod val="95000"/>
                <a:lumOff val="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603250</xdr:colOff>
      <xdr:row>3</xdr:row>
      <xdr:rowOff>114300</xdr:rowOff>
    </xdr:from>
    <xdr:to>
      <xdr:col>11</xdr:col>
      <xdr:colOff>520700</xdr:colOff>
      <xdr:row>7</xdr:row>
      <xdr:rowOff>139700</xdr:rowOff>
    </xdr:to>
    <xdr:sp macro="" textlink="">
      <xdr:nvSpPr>
        <xdr:cNvPr id="11" name="Rectangle: Rounded Corners 10">
          <a:extLst>
            <a:ext uri="{FF2B5EF4-FFF2-40B4-BE49-F238E27FC236}">
              <a16:creationId xmlns:a16="http://schemas.microsoft.com/office/drawing/2014/main" id="{DEE97FC9-AA37-4E8B-A8A0-1AA65CB3299B}"/>
            </a:ext>
          </a:extLst>
        </xdr:cNvPr>
        <xdr:cNvSpPr/>
      </xdr:nvSpPr>
      <xdr:spPr>
        <a:xfrm>
          <a:off x="5848350" y="666750"/>
          <a:ext cx="1746250" cy="762000"/>
        </a:xfrm>
        <a:prstGeom prst="roundRect">
          <a:avLst/>
        </a:prstGeom>
        <a:gradFill flip="none" rotWithShape="1">
          <a:gsLst>
            <a:gs pos="0">
              <a:srgbClr val="00B0F0"/>
            </a:gs>
            <a:gs pos="23000">
              <a:srgbClr val="0070C0"/>
            </a:gs>
            <a:gs pos="100000">
              <a:schemeClr val="tx1">
                <a:lumMod val="95000"/>
                <a:lumOff val="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292100</xdr:colOff>
      <xdr:row>10</xdr:row>
      <xdr:rowOff>31750</xdr:rowOff>
    </xdr:from>
    <xdr:to>
      <xdr:col>8</xdr:col>
      <xdr:colOff>577850</xdr:colOff>
      <xdr:row>21</xdr:row>
      <xdr:rowOff>31750</xdr:rowOff>
    </xdr:to>
    <xdr:graphicFrame macro="">
      <xdr:nvGraphicFramePr>
        <xdr:cNvPr id="12" name="Chart 11">
          <a:extLst>
            <a:ext uri="{FF2B5EF4-FFF2-40B4-BE49-F238E27FC236}">
              <a16:creationId xmlns:a16="http://schemas.microsoft.com/office/drawing/2014/main" id="{D5305B1C-743D-4922-90C3-BB8256986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285750</xdr:colOff>
      <xdr:row>8</xdr:row>
      <xdr:rowOff>63500</xdr:rowOff>
    </xdr:from>
    <xdr:to>
      <xdr:col>17</xdr:col>
      <xdr:colOff>152400</xdr:colOff>
      <xdr:row>21</xdr:row>
      <xdr:rowOff>114300</xdr:rowOff>
    </xdr:to>
    <xdr:sp macro="" textlink="">
      <xdr:nvSpPr>
        <xdr:cNvPr id="13" name="Rectangle: Rounded Corners 12">
          <a:extLst>
            <a:ext uri="{FF2B5EF4-FFF2-40B4-BE49-F238E27FC236}">
              <a16:creationId xmlns:a16="http://schemas.microsoft.com/office/drawing/2014/main" id="{E1EE8228-A53F-45DD-9965-858A6D236D13}"/>
            </a:ext>
          </a:extLst>
        </xdr:cNvPr>
        <xdr:cNvSpPr/>
      </xdr:nvSpPr>
      <xdr:spPr>
        <a:xfrm>
          <a:off x="6140450" y="1536700"/>
          <a:ext cx="4737100" cy="2444750"/>
        </a:xfrm>
        <a:prstGeom prst="roundRect">
          <a:avLst>
            <a:gd name="adj" fmla="val 7052"/>
          </a:avLst>
        </a:prstGeom>
        <a:gradFill>
          <a:gsLst>
            <a:gs pos="0">
              <a:srgbClr val="00B0F0"/>
            </a:gs>
            <a:gs pos="23000">
              <a:srgbClr val="0070C0"/>
            </a:gs>
            <a:gs pos="100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406400</xdr:colOff>
      <xdr:row>9</xdr:row>
      <xdr:rowOff>156634</xdr:rowOff>
    </xdr:from>
    <xdr:to>
      <xdr:col>16</xdr:col>
      <xdr:colOff>600075</xdr:colOff>
      <xdr:row>21</xdr:row>
      <xdr:rowOff>95251</xdr:rowOff>
    </xdr:to>
    <xdr:graphicFrame macro="">
      <xdr:nvGraphicFramePr>
        <xdr:cNvPr id="5" name="Chart 4">
          <a:extLst>
            <a:ext uri="{FF2B5EF4-FFF2-40B4-BE49-F238E27FC236}">
              <a16:creationId xmlns:a16="http://schemas.microsoft.com/office/drawing/2014/main" id="{791CE623-85F9-46E8-A06B-48D188D77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522112</xdr:colOff>
      <xdr:row>8</xdr:row>
      <xdr:rowOff>99484</xdr:rowOff>
    </xdr:from>
    <xdr:to>
      <xdr:col>8</xdr:col>
      <xdr:colOff>204612</xdr:colOff>
      <xdr:row>9</xdr:row>
      <xdr:rowOff>170746</xdr:rowOff>
    </xdr:to>
    <xdr:sp macro="" textlink="">
      <xdr:nvSpPr>
        <xdr:cNvPr id="6" name="TextBox 5">
          <a:extLst>
            <a:ext uri="{FF2B5EF4-FFF2-40B4-BE49-F238E27FC236}">
              <a16:creationId xmlns:a16="http://schemas.microsoft.com/office/drawing/2014/main" id="{1071DACC-190C-44AA-9482-07A6907106C7}"/>
            </a:ext>
          </a:extLst>
        </xdr:cNvPr>
        <xdr:cNvSpPr txBox="1"/>
      </xdr:nvSpPr>
      <xdr:spPr>
        <a:xfrm>
          <a:off x="2719212" y="1572684"/>
          <a:ext cx="2730500" cy="255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200">
              <a:solidFill>
                <a:schemeClr val="bg1"/>
              </a:solidFill>
            </a:rPr>
            <a:t>Employee</a:t>
          </a:r>
          <a:r>
            <a:rPr lang="id-ID" sz="1200" baseline="0">
              <a:solidFill>
                <a:schemeClr val="bg1"/>
              </a:solidFill>
            </a:rPr>
            <a:t> Salary vs Years of Service</a:t>
          </a:r>
          <a:endParaRPr lang="en-ID" sz="1200">
            <a:solidFill>
              <a:schemeClr val="bg1"/>
            </a:solidFill>
          </a:endParaRPr>
        </a:p>
      </xdr:txBody>
    </xdr:sp>
    <xdr:clientData/>
  </xdr:twoCellAnchor>
  <xdr:twoCellAnchor>
    <xdr:from>
      <xdr:col>11</xdr:col>
      <xdr:colOff>392290</xdr:colOff>
      <xdr:row>8</xdr:row>
      <xdr:rowOff>82550</xdr:rowOff>
    </xdr:from>
    <xdr:to>
      <xdr:col>16</xdr:col>
      <xdr:colOff>74790</xdr:colOff>
      <xdr:row>9</xdr:row>
      <xdr:rowOff>153812</xdr:rowOff>
    </xdr:to>
    <xdr:sp macro="" textlink="">
      <xdr:nvSpPr>
        <xdr:cNvPr id="15" name="TextBox 14">
          <a:extLst>
            <a:ext uri="{FF2B5EF4-FFF2-40B4-BE49-F238E27FC236}">
              <a16:creationId xmlns:a16="http://schemas.microsoft.com/office/drawing/2014/main" id="{E3614721-03B6-4E10-A63E-2B4E95B2403C}"/>
            </a:ext>
          </a:extLst>
        </xdr:cNvPr>
        <xdr:cNvSpPr txBox="1"/>
      </xdr:nvSpPr>
      <xdr:spPr>
        <a:xfrm>
          <a:off x="7459840" y="1555750"/>
          <a:ext cx="2730500" cy="255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200" baseline="0">
              <a:solidFill>
                <a:schemeClr val="bg1"/>
              </a:solidFill>
            </a:rPr>
            <a:t>Average Salary by Department</a:t>
          </a:r>
          <a:endParaRPr lang="en-ID" sz="1200">
            <a:solidFill>
              <a:schemeClr val="bg1"/>
            </a:solidFill>
          </a:endParaRPr>
        </a:p>
      </xdr:txBody>
    </xdr:sp>
    <xdr:clientData/>
  </xdr:twoCellAnchor>
  <xdr:twoCellAnchor>
    <xdr:from>
      <xdr:col>3</xdr:col>
      <xdr:colOff>145345</xdr:colOff>
      <xdr:row>3</xdr:row>
      <xdr:rowOff>117124</xdr:rowOff>
    </xdr:from>
    <xdr:to>
      <xdr:col>4</xdr:col>
      <xdr:colOff>585610</xdr:colOff>
      <xdr:row>5</xdr:row>
      <xdr:rowOff>21167</xdr:rowOff>
    </xdr:to>
    <xdr:sp macro="" textlink="">
      <xdr:nvSpPr>
        <xdr:cNvPr id="16" name="TextBox 15">
          <a:extLst>
            <a:ext uri="{FF2B5EF4-FFF2-40B4-BE49-F238E27FC236}">
              <a16:creationId xmlns:a16="http://schemas.microsoft.com/office/drawing/2014/main" id="{4F27428E-0F3E-4CA4-8C29-EC3028B7B5B3}"/>
            </a:ext>
          </a:extLst>
        </xdr:cNvPr>
        <xdr:cNvSpPr txBox="1"/>
      </xdr:nvSpPr>
      <xdr:spPr>
        <a:xfrm>
          <a:off x="2339623" y="667457"/>
          <a:ext cx="1047043" cy="270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200">
              <a:solidFill>
                <a:schemeClr val="bg1"/>
              </a:solidFill>
            </a:rPr>
            <a:t>Total Salary</a:t>
          </a:r>
          <a:endParaRPr lang="en-ID" sz="1200">
            <a:solidFill>
              <a:schemeClr val="bg1"/>
            </a:solidFill>
          </a:endParaRPr>
        </a:p>
      </xdr:txBody>
    </xdr:sp>
    <xdr:clientData/>
  </xdr:twoCellAnchor>
  <xdr:twoCellAnchor>
    <xdr:from>
      <xdr:col>6</xdr:col>
      <xdr:colOff>170747</xdr:colOff>
      <xdr:row>3</xdr:row>
      <xdr:rowOff>107246</xdr:rowOff>
    </xdr:from>
    <xdr:to>
      <xdr:col>8</xdr:col>
      <xdr:colOff>134057</xdr:colOff>
      <xdr:row>5</xdr:row>
      <xdr:rowOff>21167</xdr:rowOff>
    </xdr:to>
    <xdr:sp macro="" textlink="">
      <xdr:nvSpPr>
        <xdr:cNvPr id="17" name="TextBox 16">
          <a:extLst>
            <a:ext uri="{FF2B5EF4-FFF2-40B4-BE49-F238E27FC236}">
              <a16:creationId xmlns:a16="http://schemas.microsoft.com/office/drawing/2014/main" id="{ABDFE517-44B0-42F8-9D11-FE70E8D0FC6E}"/>
            </a:ext>
          </a:extLst>
        </xdr:cNvPr>
        <xdr:cNvSpPr txBox="1"/>
      </xdr:nvSpPr>
      <xdr:spPr>
        <a:xfrm>
          <a:off x="4185358" y="657579"/>
          <a:ext cx="1176866" cy="280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200">
              <a:solidFill>
                <a:schemeClr val="bg1"/>
              </a:solidFill>
            </a:rPr>
            <a:t>Total Employee</a:t>
          </a:r>
          <a:endParaRPr lang="en-ID" sz="1200">
            <a:solidFill>
              <a:schemeClr val="bg1"/>
            </a:solidFill>
          </a:endParaRPr>
        </a:p>
      </xdr:txBody>
    </xdr:sp>
    <xdr:clientData/>
  </xdr:twoCellAnchor>
  <xdr:twoCellAnchor>
    <xdr:from>
      <xdr:col>9</xdr:col>
      <xdr:colOff>26809</xdr:colOff>
      <xdr:row>3</xdr:row>
      <xdr:rowOff>98777</xdr:rowOff>
    </xdr:from>
    <xdr:to>
      <xdr:col>12</xdr:col>
      <xdr:colOff>28218</xdr:colOff>
      <xdr:row>4</xdr:row>
      <xdr:rowOff>156632</xdr:rowOff>
    </xdr:to>
    <xdr:sp macro="" textlink="">
      <xdr:nvSpPr>
        <xdr:cNvPr id="18" name="TextBox 17">
          <a:extLst>
            <a:ext uri="{FF2B5EF4-FFF2-40B4-BE49-F238E27FC236}">
              <a16:creationId xmlns:a16="http://schemas.microsoft.com/office/drawing/2014/main" id="{49C913E6-5F7B-407E-A817-F188A003F759}"/>
            </a:ext>
          </a:extLst>
        </xdr:cNvPr>
        <xdr:cNvSpPr txBox="1"/>
      </xdr:nvSpPr>
      <xdr:spPr>
        <a:xfrm>
          <a:off x="5861753" y="649110"/>
          <a:ext cx="1821743"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200">
              <a:solidFill>
                <a:schemeClr val="bg1"/>
              </a:solidFill>
            </a:rPr>
            <a:t>Average</a:t>
          </a:r>
          <a:r>
            <a:rPr lang="id-ID" sz="1200" baseline="0">
              <a:solidFill>
                <a:schemeClr val="bg1"/>
              </a:solidFill>
            </a:rPr>
            <a:t> Years of Service</a:t>
          </a:r>
          <a:endParaRPr lang="en-ID" sz="1200">
            <a:solidFill>
              <a:schemeClr val="bg1"/>
            </a:solidFill>
          </a:endParaRPr>
        </a:p>
      </xdr:txBody>
    </xdr:sp>
    <xdr:clientData/>
  </xdr:twoCellAnchor>
  <xdr:twoCellAnchor>
    <xdr:from>
      <xdr:col>2</xdr:col>
      <xdr:colOff>493889</xdr:colOff>
      <xdr:row>4</xdr:row>
      <xdr:rowOff>142521</xdr:rowOff>
    </xdr:from>
    <xdr:to>
      <xdr:col>5</xdr:col>
      <xdr:colOff>141111</xdr:colOff>
      <xdr:row>6</xdr:row>
      <xdr:rowOff>183441</xdr:rowOff>
    </xdr:to>
    <xdr:sp macro="" textlink="PivotTable!T4">
      <xdr:nvSpPr>
        <xdr:cNvPr id="19" name="TextBox 18">
          <a:extLst>
            <a:ext uri="{FF2B5EF4-FFF2-40B4-BE49-F238E27FC236}">
              <a16:creationId xmlns:a16="http://schemas.microsoft.com/office/drawing/2014/main" id="{3ABC56AB-B6AB-463A-9387-9EFE2C916E2B}"/>
            </a:ext>
          </a:extLst>
        </xdr:cNvPr>
        <xdr:cNvSpPr txBox="1"/>
      </xdr:nvSpPr>
      <xdr:spPr>
        <a:xfrm>
          <a:off x="2081389" y="876299"/>
          <a:ext cx="1467555" cy="407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4C8E8F-88C2-43D1-B788-7BC769651A4F}" type="TxLink">
            <a:rPr lang="en-US" sz="1800" b="0" i="0" u="none" strike="noStrike">
              <a:solidFill>
                <a:schemeClr val="bg1"/>
              </a:solidFill>
              <a:latin typeface="Calibri"/>
              <a:ea typeface="Calibri"/>
              <a:cs typeface="Calibri"/>
            </a:rPr>
            <a:pPr algn="ctr"/>
            <a:t>$684.416,00</a:t>
          </a:fld>
          <a:endParaRPr lang="en-ID" sz="1800">
            <a:solidFill>
              <a:schemeClr val="bg1"/>
            </a:solidFill>
          </a:endParaRPr>
        </a:p>
      </xdr:txBody>
    </xdr:sp>
    <xdr:clientData/>
  </xdr:twoCellAnchor>
  <xdr:twoCellAnchor>
    <xdr:from>
      <xdr:col>9</xdr:col>
      <xdr:colOff>138288</xdr:colOff>
      <xdr:row>4</xdr:row>
      <xdr:rowOff>118532</xdr:rowOff>
    </xdr:from>
    <xdr:to>
      <xdr:col>11</xdr:col>
      <xdr:colOff>392287</xdr:colOff>
      <xdr:row>6</xdr:row>
      <xdr:rowOff>159452</xdr:rowOff>
    </xdr:to>
    <xdr:sp macro="" textlink="PivotTable!V4">
      <xdr:nvSpPr>
        <xdr:cNvPr id="20" name="TextBox 19">
          <a:extLst>
            <a:ext uri="{FF2B5EF4-FFF2-40B4-BE49-F238E27FC236}">
              <a16:creationId xmlns:a16="http://schemas.microsoft.com/office/drawing/2014/main" id="{81F55A93-5F36-492C-AC24-1F07DD40E691}"/>
            </a:ext>
          </a:extLst>
        </xdr:cNvPr>
        <xdr:cNvSpPr txBox="1"/>
      </xdr:nvSpPr>
      <xdr:spPr>
        <a:xfrm>
          <a:off x="5973232" y="852310"/>
          <a:ext cx="1467555" cy="407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D940F4-E2D0-4BD4-90BC-B4CB3751F9C3}" type="TxLink">
            <a:rPr lang="en-US" sz="1800" b="0" i="0" u="none" strike="noStrike">
              <a:solidFill>
                <a:schemeClr val="bg1"/>
              </a:solidFill>
              <a:latin typeface="Calibri"/>
              <a:ea typeface="Calibri"/>
              <a:cs typeface="Calibri"/>
            </a:rPr>
            <a:pPr algn="ctr"/>
            <a:t>9,47</a:t>
          </a:fld>
          <a:endParaRPr lang="en-ID" sz="1800">
            <a:solidFill>
              <a:schemeClr val="bg1"/>
            </a:solidFill>
          </a:endParaRPr>
        </a:p>
      </xdr:txBody>
    </xdr:sp>
    <xdr:clientData/>
  </xdr:twoCellAnchor>
  <xdr:twoCellAnchor>
    <xdr:from>
      <xdr:col>6</xdr:col>
      <xdr:colOff>1416</xdr:colOff>
      <xdr:row>4</xdr:row>
      <xdr:rowOff>143929</xdr:rowOff>
    </xdr:from>
    <xdr:to>
      <xdr:col>8</xdr:col>
      <xdr:colOff>255415</xdr:colOff>
      <xdr:row>7</xdr:row>
      <xdr:rowOff>1405</xdr:rowOff>
    </xdr:to>
    <xdr:sp macro="" textlink="PivotTable!U4">
      <xdr:nvSpPr>
        <xdr:cNvPr id="21" name="TextBox 20">
          <a:extLst>
            <a:ext uri="{FF2B5EF4-FFF2-40B4-BE49-F238E27FC236}">
              <a16:creationId xmlns:a16="http://schemas.microsoft.com/office/drawing/2014/main" id="{9D210176-E3CE-40CE-ADCF-3B037DB48EF5}"/>
            </a:ext>
          </a:extLst>
        </xdr:cNvPr>
        <xdr:cNvSpPr txBox="1"/>
      </xdr:nvSpPr>
      <xdr:spPr>
        <a:xfrm>
          <a:off x="4016027" y="877707"/>
          <a:ext cx="1467555" cy="407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7AB5C2-A067-41B9-82A2-9D2CBD184567}" type="TxLink">
            <a:rPr lang="en-US" sz="1800" b="0" i="0" u="none" strike="noStrike">
              <a:solidFill>
                <a:schemeClr val="bg1"/>
              </a:solidFill>
              <a:latin typeface="Calibri"/>
              <a:ea typeface="Calibri"/>
              <a:cs typeface="Calibri"/>
            </a:rPr>
            <a:pPr algn="ctr"/>
            <a:t>106</a:t>
          </a:fld>
          <a:endParaRPr lang="en-ID" sz="1800">
            <a:solidFill>
              <a:schemeClr val="bg1"/>
            </a:solidFill>
          </a:endParaRPr>
        </a:p>
      </xdr:txBody>
    </xdr:sp>
    <xdr:clientData/>
  </xdr:twoCellAnchor>
  <xdr:twoCellAnchor>
    <xdr:from>
      <xdr:col>0</xdr:col>
      <xdr:colOff>228601</xdr:colOff>
      <xdr:row>7</xdr:row>
      <xdr:rowOff>19050</xdr:rowOff>
    </xdr:from>
    <xdr:to>
      <xdr:col>1</xdr:col>
      <xdr:colOff>577850</xdr:colOff>
      <xdr:row>21</xdr:row>
      <xdr:rowOff>6350</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E38CB29E-AA21-4761-9279-57346DAAB4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28601" y="1308100"/>
              <a:ext cx="1327149" cy="256540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133350</xdr:colOff>
      <xdr:row>0</xdr:row>
      <xdr:rowOff>133350</xdr:rowOff>
    </xdr:from>
    <xdr:to>
      <xdr:col>2</xdr:col>
      <xdr:colOff>76200</xdr:colOff>
      <xdr:row>3</xdr:row>
      <xdr:rowOff>44450</xdr:rowOff>
    </xdr:to>
    <mc:AlternateContent xmlns:mc="http://schemas.openxmlformats.org/markup-compatibility/2006" xmlns:a14="http://schemas.microsoft.com/office/drawing/2010/main">
      <mc:Choice Requires="a14">
        <xdr:graphicFrame macro="">
          <xdr:nvGraphicFramePr>
            <xdr:cNvPr id="24" name="DEPARTMENT_NAME">
              <a:extLst>
                <a:ext uri="{FF2B5EF4-FFF2-40B4-BE49-F238E27FC236}">
                  <a16:creationId xmlns:a16="http://schemas.microsoft.com/office/drawing/2014/main" id="{3C15E957-94E1-4CE0-ABB5-CD7E83353ECF}"/>
                </a:ext>
              </a:extLst>
            </xdr:cNvPr>
            <xdr:cNvGraphicFramePr/>
          </xdr:nvGraphicFramePr>
          <xdr:xfrm>
            <a:off x="0" y="0"/>
            <a:ext cx="0" cy="0"/>
          </xdr:xfrm>
          <a:graphic>
            <a:graphicData uri="http://schemas.microsoft.com/office/drawing/2010/slicer">
              <sle:slicer xmlns:sle="http://schemas.microsoft.com/office/drawing/2010/slicer" name="DEPARTMENT_NAME"/>
            </a:graphicData>
          </a:graphic>
        </xdr:graphicFrame>
      </mc:Choice>
      <mc:Fallback xmlns="">
        <xdr:sp macro="" textlink="">
          <xdr:nvSpPr>
            <xdr:cNvPr id="0" name=""/>
            <xdr:cNvSpPr>
              <a:spLocks noTextEdit="1"/>
            </xdr:cNvSpPr>
          </xdr:nvSpPr>
          <xdr:spPr>
            <a:xfrm>
              <a:off x="133350" y="133350"/>
              <a:ext cx="1530350" cy="4635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371123</xdr:colOff>
      <xdr:row>3</xdr:row>
      <xdr:rowOff>159457</xdr:rowOff>
    </xdr:from>
    <xdr:to>
      <xdr:col>1</xdr:col>
      <xdr:colOff>443088</xdr:colOff>
      <xdr:row>6</xdr:row>
      <xdr:rowOff>158750</xdr:rowOff>
    </xdr:to>
    <xdr:sp macro="" textlink="">
      <xdr:nvSpPr>
        <xdr:cNvPr id="26" name="TextBox 25">
          <a:extLst>
            <a:ext uri="{FF2B5EF4-FFF2-40B4-BE49-F238E27FC236}">
              <a16:creationId xmlns:a16="http://schemas.microsoft.com/office/drawing/2014/main" id="{DCC0C8EF-3D88-4C13-BB60-389CF336F273}"/>
            </a:ext>
          </a:extLst>
        </xdr:cNvPr>
        <xdr:cNvSpPr txBox="1"/>
      </xdr:nvSpPr>
      <xdr:spPr>
        <a:xfrm>
          <a:off x="371123" y="711907"/>
          <a:ext cx="1049865" cy="551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200">
              <a:solidFill>
                <a:schemeClr val="bg1"/>
              </a:solidFill>
            </a:rPr>
            <a:t>Salary Percentile</a:t>
          </a:r>
          <a:endParaRPr lang="en-ID" sz="1200">
            <a:solidFill>
              <a:schemeClr val="bg1"/>
            </a:solidFill>
          </a:endParaRPr>
        </a:p>
      </xdr:txBody>
    </xdr:sp>
    <xdr:clientData/>
  </xdr:twoCellAnchor>
  <xdr:twoCellAnchor>
    <xdr:from>
      <xdr:col>12</xdr:col>
      <xdr:colOff>501650</xdr:colOff>
      <xdr:row>0</xdr:row>
      <xdr:rowOff>88900</xdr:rowOff>
    </xdr:from>
    <xdr:to>
      <xdr:col>16</xdr:col>
      <xdr:colOff>247650</xdr:colOff>
      <xdr:row>7</xdr:row>
      <xdr:rowOff>127000</xdr:rowOff>
    </xdr:to>
    <xdr:sp macro="" textlink="">
      <xdr:nvSpPr>
        <xdr:cNvPr id="7" name="Rectangle: Rounded Corners 6">
          <a:extLst>
            <a:ext uri="{FF2B5EF4-FFF2-40B4-BE49-F238E27FC236}">
              <a16:creationId xmlns:a16="http://schemas.microsoft.com/office/drawing/2014/main" id="{AF7D971A-4307-438F-B12A-ADBCF7D37EBB}"/>
            </a:ext>
          </a:extLst>
        </xdr:cNvPr>
        <xdr:cNvSpPr/>
      </xdr:nvSpPr>
      <xdr:spPr>
        <a:xfrm>
          <a:off x="8178800" y="88900"/>
          <a:ext cx="2184400" cy="1327150"/>
        </a:xfrm>
        <a:prstGeom prst="roundRect">
          <a:avLst/>
        </a:prstGeom>
        <a:gradFill flip="none" rotWithShape="1">
          <a:gsLst>
            <a:gs pos="0">
              <a:srgbClr val="00B0F0"/>
            </a:gs>
            <a:gs pos="23000">
              <a:srgbClr val="0070C0"/>
            </a:gs>
            <a:gs pos="100000">
              <a:schemeClr val="tx1">
                <a:lumMod val="95000"/>
                <a:lumOff val="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38100</xdr:colOff>
      <xdr:row>1</xdr:row>
      <xdr:rowOff>114300</xdr:rowOff>
    </xdr:from>
    <xdr:to>
      <xdr:col>16</xdr:col>
      <xdr:colOff>139700</xdr:colOff>
      <xdr:row>7</xdr:row>
      <xdr:rowOff>6350</xdr:rowOff>
    </xdr:to>
    <xdr:graphicFrame macro="">
      <xdr:nvGraphicFramePr>
        <xdr:cNvPr id="14" name="Chart 13">
          <a:extLst>
            <a:ext uri="{FF2B5EF4-FFF2-40B4-BE49-F238E27FC236}">
              <a16:creationId xmlns:a16="http://schemas.microsoft.com/office/drawing/2014/main" id="{CFA83F4A-DE32-4B82-B113-811105FEA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102303</xdr:colOff>
      <xdr:row>0</xdr:row>
      <xdr:rowOff>90310</xdr:rowOff>
    </xdr:from>
    <xdr:to>
      <xdr:col>16</xdr:col>
      <xdr:colOff>97362</xdr:colOff>
      <xdr:row>1</xdr:row>
      <xdr:rowOff>148165</xdr:rowOff>
    </xdr:to>
    <xdr:sp macro="" textlink="">
      <xdr:nvSpPr>
        <xdr:cNvPr id="22" name="TextBox 21">
          <a:extLst>
            <a:ext uri="{FF2B5EF4-FFF2-40B4-BE49-F238E27FC236}">
              <a16:creationId xmlns:a16="http://schemas.microsoft.com/office/drawing/2014/main" id="{3857A13D-4F56-42D6-A7C2-84B0D01252C9}"/>
            </a:ext>
          </a:extLst>
        </xdr:cNvPr>
        <xdr:cNvSpPr txBox="1"/>
      </xdr:nvSpPr>
      <xdr:spPr>
        <a:xfrm>
          <a:off x="8389053" y="90310"/>
          <a:ext cx="1823859" cy="242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solidFill>
                <a:schemeClr val="bg1"/>
              </a:solidFill>
            </a:rPr>
            <a:t>Highest</a:t>
          </a:r>
          <a:r>
            <a:rPr lang="id-ID" sz="1100" baseline="0">
              <a:solidFill>
                <a:schemeClr val="bg1"/>
              </a:solidFill>
            </a:rPr>
            <a:t> Salary by Employee</a:t>
          </a:r>
          <a:endParaRPr lang="en-ID"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laeman Tutu" refreshedDate="45976.266091782411" createdVersion="8" refreshedVersion="8" minRefreshableVersion="3" recordCount="106" xr:uid="{26BB2E71-5D08-4F41-B4C6-FF63CCCCB8E4}">
  <cacheSource type="worksheet">
    <worksheetSource name="emptbl"/>
  </cacheSource>
  <cacheFields count="9">
    <cacheField name="FULL_NAME" numFmtId="0">
      <sharedItems count="106">
        <s v="William Gietz"/>
        <s v="Shelley Higgins"/>
        <s v="Jennifer Whalen"/>
        <s v="Steven King"/>
        <s v="Lex Garcia"/>
        <s v="Neena Yang"/>
        <s v="John Chen"/>
        <s v="Daniel Faviet"/>
        <s v="Luis Popp"/>
        <s v="Ismael Sciarra"/>
        <s v="Jose Manuel Urman"/>
        <s v="Nancy Gruenberg"/>
        <s v="Susan Jacobs"/>
        <s v="Alexander James"/>
        <s v="Bruce Miller"/>
        <s v="Diana Nguyen"/>
        <s v="Valli Jackson"/>
        <s v="David Williams"/>
        <s v="Michael Martinez"/>
        <s v="Pat Davis"/>
        <s v="Hermann Brown"/>
        <s v="Shelli Baida"/>
        <s v="Alexander Khoo"/>
        <s v="Sigal Tobias"/>
        <s v="Guy Himuro"/>
        <s v="Karen Colmenares"/>
        <s v="Den Li"/>
        <s v="Gerald Cambrault"/>
        <s v="Alberto Errazuriz"/>
        <s v="Karen Partners"/>
        <s v="John Singh"/>
        <s v="Eleni Zlotkey"/>
        <s v="Oliver Tuvault"/>
        <s v="Janette King"/>
        <s v="Patrick Sully"/>
        <s v="Allan McEwen"/>
        <s v="Lindsey Smith"/>
        <s v="Louise Doran"/>
        <s v="Sarath Sewall"/>
        <s v="Charles Johnson"/>
        <s v="Danielle Greene"/>
        <s v="Mattea Marvins"/>
        <s v="David Lee"/>
        <s v="Sundar Ande"/>
        <s v="Amit Banda"/>
        <s v="Lisa Ozer"/>
        <s v="Harrison Bloom"/>
        <s v="Tayler Fox"/>
        <s v="William Smith"/>
        <s v="Elizabeth Bates"/>
        <s v="Sundita Kumar"/>
        <s v="Ellen Abel"/>
        <s v="Alyssa Hutton"/>
        <s v="Jonathon Taylor"/>
        <s v="Jack Livingston"/>
        <s v="Nanette Cambrault"/>
        <s v="Christopher Olsen"/>
        <s v="Peter Hall"/>
        <s v="David Bernstein"/>
        <s v="Sean Tucker"/>
        <s v="Clara Vishney"/>
        <s v="Nandita Sarchand"/>
        <s v="Alexis Bull"/>
        <s v="Julia Dellinger"/>
        <s v="Anthony Cabrio"/>
        <s v="Kelly Chung"/>
        <s v="Jennifer Dilly"/>
        <s v="Timothy Venzl"/>
        <s v="Randall Perkins"/>
        <s v="Sarah Bell"/>
        <s v="Britney Everett"/>
        <s v="Samuel McLeod"/>
        <s v="Vance Jones"/>
        <s v="Alana Walsh"/>
        <s v="Kevin Feeney"/>
        <s v="Donald OConnell"/>
        <s v="Douglas Grant"/>
        <s v="Winston Taylor"/>
        <s v="Jean Fleaur"/>
        <s v="Martha Sullivan"/>
        <s v="Girard Geoni"/>
        <s v="TJ Olson"/>
        <s v="Randall Matos"/>
        <s v="Curtis Davies"/>
        <s v="Trenna Rajs"/>
        <s v="Joshua Patel"/>
        <s v="Julia Nayer"/>
        <s v="Irene Mikkilineni"/>
        <s v="James Landry"/>
        <s v="Steven Markle"/>
        <s v="Laura Bissot"/>
        <s v="Mozhe Atkinson"/>
        <s v="James Marlow"/>
        <s v="Peter Vargas"/>
        <s v="Jason Mallin"/>
        <s v="Michael Rogers"/>
        <s v="Ki Gee"/>
        <s v="Hazel Philtanker"/>
        <s v="Renske Ladwig"/>
        <s v="Stephen Stiles"/>
        <s v="John Seo"/>
        <s v="Kevin Mourgos"/>
        <s v="Shanta Vollman"/>
        <s v="Payam Kaufling"/>
        <s v="Adam Fripp"/>
        <s v="Matthew Weiss"/>
      </sharedItems>
    </cacheField>
    <cacheField name="JOB_TITLE" numFmtId="0">
      <sharedItems count="19">
        <s v="Public Accountant"/>
        <s v="Accounting Manager"/>
        <s v="Administration Assistant"/>
        <s v="President"/>
        <s v="Administration Vice President"/>
        <s v="Accountant"/>
        <s v="Finance Manager"/>
        <s v="Human Resources Representative"/>
        <s v="Programmer"/>
        <s v="Marketing Manager"/>
        <s v="Marketing Representative"/>
        <s v="Public Relations Representative"/>
        <s v="Purchasing Clerk"/>
        <s v="Purchasing Manager"/>
        <s v="Sales Manager"/>
        <s v="Sales Representative"/>
        <s v="Shipping Clerk"/>
        <s v="Stock Clerk"/>
        <s v="Stock Manager"/>
      </sharedItems>
    </cacheField>
    <cacheField name="DEPARTMENT_NAME" numFmtId="0">
      <sharedItems count="11">
        <s v="Accounting"/>
        <s v="Administration"/>
        <s v="Executive"/>
        <s v="Finance"/>
        <s v="Human Resources"/>
        <s v="IT"/>
        <s v="Marketing"/>
        <s v="Public Relations"/>
        <s v="Purchasing"/>
        <s v="Sales"/>
        <s v="Shipping"/>
      </sharedItems>
    </cacheField>
    <cacheField name="HIRE_DATE" numFmtId="22">
      <sharedItems containsSemiMixedTypes="0" containsNonDate="0" containsDate="1" containsString="0" minDate="2011-01-13T07:00:00" maxDate="2018-04-21T07:00:00" count="97">
        <d v="2012-06-07T07:00:00"/>
        <d v="2013-09-17T07:00:00"/>
        <d v="2013-06-17T07:00:00"/>
        <d v="2011-01-13T07:00:00"/>
        <d v="2015-09-21T07:00:00"/>
        <d v="2015-09-28T07:00:00"/>
        <d v="2012-08-16T07:00:00"/>
        <d v="2017-12-07T07:00:00"/>
        <d v="2015-09-30T07:00:00"/>
        <d v="2016-03-07T07:00:00"/>
        <d v="2012-08-17T07:00:00"/>
        <d v="2016-01-03T07:00:00"/>
        <d v="2017-05-21T07:00:00"/>
        <d v="2017-02-07T07:00:00"/>
        <d v="2016-02-05T07:00:00"/>
        <d v="2015-06-25T07:00:00"/>
        <d v="2014-02-17T07:00:00"/>
        <d v="2015-08-17T07:00:00"/>
        <d v="2015-12-24T07:00:00"/>
        <d v="2013-05-18T07:00:00"/>
        <d v="2015-07-24T07:00:00"/>
        <d v="2016-11-15T07:00:00"/>
        <d v="2017-08-10T07:00:00"/>
        <d v="2012-12-07T07:00:00"/>
        <d v="2017-10-15T07:00:00"/>
        <d v="2015-03-10T07:00:00"/>
        <d v="2015-01-05T07:00:00"/>
        <d v="2014-10-01T07:00:00"/>
        <d v="2018-01-29T07:00:00"/>
        <d v="2017-11-23T07:00:00"/>
        <d v="2014-01-30T07:00:00"/>
        <d v="2014-03-04T07:00:00"/>
        <d v="2014-08-01T07:00:00"/>
        <d v="2015-12-15T07:00:00"/>
        <d v="2016-11-03T07:00:00"/>
        <d v="2018-01-04T07:00:00"/>
        <d v="2017-03-19T07:00:00"/>
        <d v="2018-01-24T07:00:00"/>
        <d v="2018-02-23T07:00:00"/>
        <d v="2018-03-24T07:00:00"/>
        <d v="2018-04-21T07:00:00"/>
        <d v="2015-03-11T07:00:00"/>
        <d v="2016-03-23T07:00:00"/>
        <d v="2016-01-24T07:00:00"/>
        <d v="2017-02-23T07:00:00"/>
        <d v="2017-03-24T07:00:00"/>
        <d v="2014-05-11T07:00:00"/>
        <d v="2015-03-19T07:00:00"/>
        <d v="2016-03-24T07:00:00"/>
        <d v="2016-04-23T07:00:00"/>
        <d v="2016-12-09T07:00:00"/>
        <d v="2016-03-30T07:00:00"/>
        <d v="2015-08-20T07:00:00"/>
        <d v="2015-03-24T07:00:00"/>
        <d v="2015-01-30T07:00:00"/>
        <d v="2015-11-11T07:00:00"/>
        <d v="2014-01-27T07:00:00"/>
        <d v="2015-02-20T07:00:00"/>
        <d v="2016-06-24T07:00:00"/>
        <d v="2015-06-14T07:00:00"/>
        <d v="2015-08-13T07:00:00"/>
        <d v="2016-07-11T07:00:00"/>
        <d v="2017-12-19T07:00:00"/>
        <d v="2014-02-04T07:00:00"/>
        <d v="2015-03-03T07:00:00"/>
        <d v="2016-07-01T07:00:00"/>
        <d v="2017-03-17T07:00:00"/>
        <d v="2016-04-24T07:00:00"/>
        <d v="2016-05-23T07:00:00"/>
        <d v="2017-06-21T07:00:00"/>
        <d v="2018-01-13T07:00:00"/>
        <d v="2016-02-23T07:00:00"/>
        <d v="2018-02-03T07:00:00"/>
        <d v="2017-04-10T07:00:00"/>
        <d v="2016-03-15T07:00:00"/>
        <d v="2015-01-29T07:00:00"/>
        <d v="2013-10-17T07:00:00"/>
        <d v="2016-04-06T07:00:00"/>
        <d v="2015-07-16T07:00:00"/>
        <d v="2016-09-28T07:00:00"/>
        <d v="2017-01-14T07:00:00"/>
        <d v="2018-03-08T07:00:00"/>
        <d v="2015-10-30T07:00:00"/>
        <d v="2015-02-16T07:00:00"/>
        <d v="2016-07-09T07:00:00"/>
        <d v="2014-06-14T07:00:00"/>
        <d v="2016-08-26T07:00:00"/>
        <d v="2017-12-12T07:00:00"/>
        <d v="2018-02-06T07:00:00"/>
        <d v="2013-07-14T07:00:00"/>
        <d v="2015-10-26T07:00:00"/>
        <d v="2016-02-12T07:00:00"/>
        <d v="2017-11-16T07:00:00"/>
        <d v="2015-10-10T07:00:00"/>
        <d v="2013-05-01T07:00:00"/>
        <d v="2015-04-10T07:00:00"/>
        <d v="2014-07-18T07:00:00"/>
      </sharedItems>
      <fieldGroup par="8"/>
    </cacheField>
    <cacheField name="SALARY" numFmtId="0">
      <sharedItems containsSemiMixedTypes="0" containsString="0" containsNumber="1" containsInteger="1" minValue="2100" maxValue="24000"/>
    </cacheField>
    <cacheField name="YEARS_OF_SERVICE" numFmtId="0">
      <sharedItems containsSemiMixedTypes="0" containsString="0" containsNumber="1" containsInteger="1" minValue="7" maxValue="14"/>
    </cacheField>
    <cacheField name="Months (HIRE_DATE)" numFmtId="0" databaseField="0">
      <fieldGroup base="3">
        <rangePr groupBy="months" startDate="2011-01-13T07:00:00" endDate="2018-04-21T07:00:00"/>
        <groupItems count="14">
          <s v="&lt;13/01/2011"/>
          <s v="Jan"/>
          <s v="Feb"/>
          <s v="Mar"/>
          <s v="Apr"/>
          <s v="Mei"/>
          <s v="Jun"/>
          <s v="Jul"/>
          <s v="Agu"/>
          <s v="Sep"/>
          <s v="Okt"/>
          <s v="Nov"/>
          <s v="Des"/>
          <s v="&gt;21/04/2018"/>
        </groupItems>
      </fieldGroup>
    </cacheField>
    <cacheField name="Quarters (HIRE_DATE)" numFmtId="0" databaseField="0">
      <fieldGroup base="3">
        <rangePr groupBy="quarters" startDate="2011-01-13T07:00:00" endDate="2018-04-21T07:00:00"/>
        <groupItems count="6">
          <s v="&lt;13/01/2011"/>
          <s v="Qtr1"/>
          <s v="Qtr2"/>
          <s v="Qtr3"/>
          <s v="Qtr4"/>
          <s v="&gt;21/04/2018"/>
        </groupItems>
      </fieldGroup>
    </cacheField>
    <cacheField name="Years (HIRE_DATE)" numFmtId="0" databaseField="0">
      <fieldGroup base="3">
        <rangePr groupBy="years" startDate="2011-01-13T07:00:00" endDate="2018-04-21T07:00:00"/>
        <groupItems count="10">
          <s v="&lt;13/01/2011"/>
          <s v="2011"/>
          <s v="2012"/>
          <s v="2013"/>
          <s v="2014"/>
          <s v="2015"/>
          <s v="2016"/>
          <s v="2017"/>
          <s v="2018"/>
          <s v="&gt;21/04/2018"/>
        </groupItems>
      </fieldGroup>
    </cacheField>
  </cacheFields>
  <extLst>
    <ext xmlns:x14="http://schemas.microsoft.com/office/spreadsheetml/2009/9/main" uri="{725AE2AE-9491-48be-B2B4-4EB974FC3084}">
      <x14:pivotCacheDefinition pivotCacheId="1377494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
  <r>
    <x v="0"/>
    <x v="0"/>
    <x v="0"/>
    <x v="0"/>
    <n v="8300"/>
    <n v="13"/>
  </r>
  <r>
    <x v="1"/>
    <x v="1"/>
    <x v="0"/>
    <x v="0"/>
    <n v="12008"/>
    <n v="13"/>
  </r>
  <r>
    <x v="2"/>
    <x v="2"/>
    <x v="1"/>
    <x v="1"/>
    <n v="4400"/>
    <n v="12"/>
  </r>
  <r>
    <x v="3"/>
    <x v="3"/>
    <x v="2"/>
    <x v="2"/>
    <n v="24000"/>
    <n v="12"/>
  </r>
  <r>
    <x v="4"/>
    <x v="4"/>
    <x v="2"/>
    <x v="3"/>
    <n v="17000"/>
    <n v="14"/>
  </r>
  <r>
    <x v="5"/>
    <x v="4"/>
    <x v="2"/>
    <x v="4"/>
    <n v="17000"/>
    <n v="10"/>
  </r>
  <r>
    <x v="6"/>
    <x v="5"/>
    <x v="3"/>
    <x v="5"/>
    <n v="8200"/>
    <n v="10"/>
  </r>
  <r>
    <x v="7"/>
    <x v="5"/>
    <x v="3"/>
    <x v="6"/>
    <n v="9000"/>
    <n v="13"/>
  </r>
  <r>
    <x v="8"/>
    <x v="5"/>
    <x v="3"/>
    <x v="7"/>
    <n v="6900"/>
    <n v="7"/>
  </r>
  <r>
    <x v="9"/>
    <x v="5"/>
    <x v="3"/>
    <x v="8"/>
    <n v="7700"/>
    <n v="10"/>
  </r>
  <r>
    <x v="10"/>
    <x v="5"/>
    <x v="3"/>
    <x v="9"/>
    <n v="7800"/>
    <n v="9"/>
  </r>
  <r>
    <x v="11"/>
    <x v="6"/>
    <x v="3"/>
    <x v="10"/>
    <n v="12008"/>
    <n v="13"/>
  </r>
  <r>
    <x v="12"/>
    <x v="7"/>
    <x v="4"/>
    <x v="0"/>
    <n v="6500"/>
    <n v="13"/>
  </r>
  <r>
    <x v="13"/>
    <x v="8"/>
    <x v="5"/>
    <x v="11"/>
    <n v="9000"/>
    <n v="9"/>
  </r>
  <r>
    <x v="14"/>
    <x v="8"/>
    <x v="5"/>
    <x v="12"/>
    <n v="6000"/>
    <n v="8"/>
  </r>
  <r>
    <x v="15"/>
    <x v="8"/>
    <x v="5"/>
    <x v="13"/>
    <n v="4200"/>
    <n v="8"/>
  </r>
  <r>
    <x v="16"/>
    <x v="8"/>
    <x v="5"/>
    <x v="14"/>
    <n v="4800"/>
    <n v="9"/>
  </r>
  <r>
    <x v="17"/>
    <x v="8"/>
    <x v="5"/>
    <x v="15"/>
    <n v="4800"/>
    <n v="10"/>
  </r>
  <r>
    <x v="18"/>
    <x v="9"/>
    <x v="6"/>
    <x v="16"/>
    <n v="13000"/>
    <n v="11"/>
  </r>
  <r>
    <x v="19"/>
    <x v="10"/>
    <x v="6"/>
    <x v="17"/>
    <n v="6000"/>
    <n v="10"/>
  </r>
  <r>
    <x v="20"/>
    <x v="11"/>
    <x v="7"/>
    <x v="0"/>
    <n v="10000"/>
    <n v="13"/>
  </r>
  <r>
    <x v="21"/>
    <x v="12"/>
    <x v="8"/>
    <x v="18"/>
    <n v="2900"/>
    <n v="9"/>
  </r>
  <r>
    <x v="22"/>
    <x v="12"/>
    <x v="8"/>
    <x v="19"/>
    <n v="3100"/>
    <n v="12"/>
  </r>
  <r>
    <x v="23"/>
    <x v="12"/>
    <x v="8"/>
    <x v="20"/>
    <n v="2800"/>
    <n v="10"/>
  </r>
  <r>
    <x v="24"/>
    <x v="12"/>
    <x v="8"/>
    <x v="21"/>
    <n v="2600"/>
    <n v="8"/>
  </r>
  <r>
    <x v="25"/>
    <x v="12"/>
    <x v="8"/>
    <x v="22"/>
    <n v="2500"/>
    <n v="8"/>
  </r>
  <r>
    <x v="26"/>
    <x v="13"/>
    <x v="8"/>
    <x v="23"/>
    <n v="11000"/>
    <n v="12"/>
  </r>
  <r>
    <x v="27"/>
    <x v="14"/>
    <x v="9"/>
    <x v="24"/>
    <n v="11000"/>
    <n v="8"/>
  </r>
  <r>
    <x v="28"/>
    <x v="14"/>
    <x v="9"/>
    <x v="25"/>
    <n v="12000"/>
    <n v="10"/>
  </r>
  <r>
    <x v="29"/>
    <x v="14"/>
    <x v="9"/>
    <x v="26"/>
    <n v="13500"/>
    <n v="10"/>
  </r>
  <r>
    <x v="30"/>
    <x v="14"/>
    <x v="9"/>
    <x v="27"/>
    <n v="14000"/>
    <n v="11"/>
  </r>
  <r>
    <x v="31"/>
    <x v="14"/>
    <x v="9"/>
    <x v="28"/>
    <n v="10500"/>
    <n v="7"/>
  </r>
  <r>
    <x v="32"/>
    <x v="15"/>
    <x v="9"/>
    <x v="29"/>
    <n v="7000"/>
    <n v="7"/>
  </r>
  <r>
    <x v="33"/>
    <x v="15"/>
    <x v="9"/>
    <x v="30"/>
    <n v="10000"/>
    <n v="11"/>
  </r>
  <r>
    <x v="34"/>
    <x v="15"/>
    <x v="9"/>
    <x v="31"/>
    <n v="9500"/>
    <n v="11"/>
  </r>
  <r>
    <x v="35"/>
    <x v="15"/>
    <x v="9"/>
    <x v="32"/>
    <n v="9000"/>
    <n v="11"/>
  </r>
  <r>
    <x v="36"/>
    <x v="15"/>
    <x v="9"/>
    <x v="25"/>
    <n v="8000"/>
    <n v="10"/>
  </r>
  <r>
    <x v="37"/>
    <x v="15"/>
    <x v="9"/>
    <x v="33"/>
    <n v="7500"/>
    <n v="9"/>
  </r>
  <r>
    <x v="38"/>
    <x v="15"/>
    <x v="9"/>
    <x v="34"/>
    <n v="7000"/>
    <n v="9"/>
  </r>
  <r>
    <x v="39"/>
    <x v="15"/>
    <x v="9"/>
    <x v="35"/>
    <n v="6200"/>
    <n v="7"/>
  </r>
  <r>
    <x v="40"/>
    <x v="15"/>
    <x v="9"/>
    <x v="36"/>
    <n v="9500"/>
    <n v="8"/>
  </r>
  <r>
    <x v="41"/>
    <x v="15"/>
    <x v="9"/>
    <x v="37"/>
    <n v="7200"/>
    <n v="7"/>
  </r>
  <r>
    <x v="42"/>
    <x v="15"/>
    <x v="9"/>
    <x v="38"/>
    <n v="6800"/>
    <n v="7"/>
  </r>
  <r>
    <x v="43"/>
    <x v="15"/>
    <x v="9"/>
    <x v="39"/>
    <n v="6400"/>
    <n v="7"/>
  </r>
  <r>
    <x v="44"/>
    <x v="15"/>
    <x v="9"/>
    <x v="40"/>
    <n v="6200"/>
    <n v="7"/>
  </r>
  <r>
    <x v="45"/>
    <x v="15"/>
    <x v="9"/>
    <x v="41"/>
    <n v="11500"/>
    <n v="10"/>
  </r>
  <r>
    <x v="46"/>
    <x v="15"/>
    <x v="9"/>
    <x v="42"/>
    <n v="10000"/>
    <n v="9"/>
  </r>
  <r>
    <x v="47"/>
    <x v="15"/>
    <x v="9"/>
    <x v="43"/>
    <n v="9600"/>
    <n v="9"/>
  </r>
  <r>
    <x v="48"/>
    <x v="15"/>
    <x v="9"/>
    <x v="44"/>
    <n v="7400"/>
    <n v="8"/>
  </r>
  <r>
    <x v="49"/>
    <x v="15"/>
    <x v="9"/>
    <x v="45"/>
    <n v="7300"/>
    <n v="8"/>
  </r>
  <r>
    <x v="50"/>
    <x v="15"/>
    <x v="9"/>
    <x v="40"/>
    <n v="6100"/>
    <n v="7"/>
  </r>
  <r>
    <x v="51"/>
    <x v="15"/>
    <x v="9"/>
    <x v="46"/>
    <n v="11000"/>
    <n v="11"/>
  </r>
  <r>
    <x v="52"/>
    <x v="15"/>
    <x v="9"/>
    <x v="47"/>
    <n v="8800"/>
    <n v="10"/>
  </r>
  <r>
    <x v="53"/>
    <x v="15"/>
    <x v="9"/>
    <x v="48"/>
    <n v="8600"/>
    <n v="9"/>
  </r>
  <r>
    <x v="54"/>
    <x v="15"/>
    <x v="9"/>
    <x v="49"/>
    <n v="8400"/>
    <n v="9"/>
  </r>
  <r>
    <x v="55"/>
    <x v="15"/>
    <x v="9"/>
    <x v="50"/>
    <n v="7500"/>
    <n v="8"/>
  </r>
  <r>
    <x v="56"/>
    <x v="15"/>
    <x v="9"/>
    <x v="51"/>
    <n v="8000"/>
    <n v="9"/>
  </r>
  <r>
    <x v="57"/>
    <x v="15"/>
    <x v="9"/>
    <x v="52"/>
    <n v="9000"/>
    <n v="10"/>
  </r>
  <r>
    <x v="58"/>
    <x v="15"/>
    <x v="9"/>
    <x v="53"/>
    <n v="9500"/>
    <n v="10"/>
  </r>
  <r>
    <x v="59"/>
    <x v="15"/>
    <x v="9"/>
    <x v="54"/>
    <n v="10000"/>
    <n v="10"/>
  </r>
  <r>
    <x v="60"/>
    <x v="15"/>
    <x v="9"/>
    <x v="55"/>
    <n v="10500"/>
    <n v="10"/>
  </r>
  <r>
    <x v="61"/>
    <x v="16"/>
    <x v="10"/>
    <x v="56"/>
    <n v="4200"/>
    <n v="11"/>
  </r>
  <r>
    <x v="62"/>
    <x v="16"/>
    <x v="10"/>
    <x v="57"/>
    <n v="4100"/>
    <n v="10"/>
  </r>
  <r>
    <x v="63"/>
    <x v="16"/>
    <x v="10"/>
    <x v="58"/>
    <n v="3400"/>
    <n v="9"/>
  </r>
  <r>
    <x v="64"/>
    <x v="16"/>
    <x v="10"/>
    <x v="13"/>
    <n v="3000"/>
    <n v="8"/>
  </r>
  <r>
    <x v="65"/>
    <x v="16"/>
    <x v="10"/>
    <x v="59"/>
    <n v="3800"/>
    <n v="10"/>
  </r>
  <r>
    <x v="66"/>
    <x v="16"/>
    <x v="10"/>
    <x v="60"/>
    <n v="3600"/>
    <n v="10"/>
  </r>
  <r>
    <x v="67"/>
    <x v="16"/>
    <x v="10"/>
    <x v="61"/>
    <n v="2900"/>
    <n v="9"/>
  </r>
  <r>
    <x v="68"/>
    <x v="16"/>
    <x v="10"/>
    <x v="62"/>
    <n v="2500"/>
    <n v="7"/>
  </r>
  <r>
    <x v="69"/>
    <x v="16"/>
    <x v="10"/>
    <x v="63"/>
    <n v="4000"/>
    <n v="11"/>
  </r>
  <r>
    <x v="70"/>
    <x v="16"/>
    <x v="10"/>
    <x v="64"/>
    <n v="3900"/>
    <n v="10"/>
  </r>
  <r>
    <x v="71"/>
    <x v="16"/>
    <x v="10"/>
    <x v="65"/>
    <n v="3200"/>
    <n v="9"/>
  </r>
  <r>
    <x v="72"/>
    <x v="16"/>
    <x v="10"/>
    <x v="66"/>
    <n v="2800"/>
    <n v="8"/>
  </r>
  <r>
    <x v="73"/>
    <x v="16"/>
    <x v="10"/>
    <x v="67"/>
    <n v="3100"/>
    <n v="9"/>
  </r>
  <r>
    <x v="74"/>
    <x v="16"/>
    <x v="10"/>
    <x v="68"/>
    <n v="3000"/>
    <n v="9"/>
  </r>
  <r>
    <x v="75"/>
    <x v="16"/>
    <x v="10"/>
    <x v="69"/>
    <n v="2600"/>
    <n v="8"/>
  </r>
  <r>
    <x v="76"/>
    <x v="16"/>
    <x v="10"/>
    <x v="70"/>
    <n v="2600"/>
    <n v="7"/>
  </r>
  <r>
    <x v="77"/>
    <x v="16"/>
    <x v="10"/>
    <x v="43"/>
    <n v="3200"/>
    <n v="9"/>
  </r>
  <r>
    <x v="78"/>
    <x v="16"/>
    <x v="10"/>
    <x v="71"/>
    <n v="3100"/>
    <n v="9"/>
  </r>
  <r>
    <x v="79"/>
    <x v="16"/>
    <x v="10"/>
    <x v="69"/>
    <n v="2500"/>
    <n v="8"/>
  </r>
  <r>
    <x v="80"/>
    <x v="16"/>
    <x v="10"/>
    <x v="72"/>
    <n v="2800"/>
    <n v="7"/>
  </r>
  <r>
    <x v="81"/>
    <x v="17"/>
    <x v="10"/>
    <x v="73"/>
    <n v="2100"/>
    <n v="8"/>
  </r>
  <r>
    <x v="82"/>
    <x v="17"/>
    <x v="10"/>
    <x v="74"/>
    <n v="2600"/>
    <n v="9"/>
  </r>
  <r>
    <x v="83"/>
    <x v="17"/>
    <x v="10"/>
    <x v="75"/>
    <n v="3100"/>
    <n v="10"/>
  </r>
  <r>
    <x v="84"/>
    <x v="17"/>
    <x v="10"/>
    <x v="76"/>
    <n v="3500"/>
    <n v="12"/>
  </r>
  <r>
    <x v="85"/>
    <x v="17"/>
    <x v="10"/>
    <x v="77"/>
    <n v="2500"/>
    <n v="9"/>
  </r>
  <r>
    <x v="86"/>
    <x v="17"/>
    <x v="10"/>
    <x v="78"/>
    <n v="3200"/>
    <n v="10"/>
  </r>
  <r>
    <x v="87"/>
    <x v="17"/>
    <x v="10"/>
    <x v="79"/>
    <n v="2700"/>
    <n v="9"/>
  </r>
  <r>
    <x v="88"/>
    <x v="17"/>
    <x v="10"/>
    <x v="80"/>
    <n v="2400"/>
    <n v="8"/>
  </r>
  <r>
    <x v="89"/>
    <x v="17"/>
    <x v="10"/>
    <x v="81"/>
    <n v="2200"/>
    <n v="7"/>
  </r>
  <r>
    <x v="90"/>
    <x v="17"/>
    <x v="10"/>
    <x v="52"/>
    <n v="3300"/>
    <n v="10"/>
  </r>
  <r>
    <x v="91"/>
    <x v="17"/>
    <x v="10"/>
    <x v="82"/>
    <n v="2800"/>
    <n v="10"/>
  </r>
  <r>
    <x v="92"/>
    <x v="17"/>
    <x v="10"/>
    <x v="83"/>
    <n v="2500"/>
    <n v="10"/>
  </r>
  <r>
    <x v="93"/>
    <x v="17"/>
    <x v="10"/>
    <x v="84"/>
    <n v="2500"/>
    <n v="9"/>
  </r>
  <r>
    <x v="94"/>
    <x v="17"/>
    <x v="10"/>
    <x v="85"/>
    <n v="3300"/>
    <n v="11"/>
  </r>
  <r>
    <x v="95"/>
    <x v="17"/>
    <x v="10"/>
    <x v="86"/>
    <n v="2900"/>
    <n v="9"/>
  </r>
  <r>
    <x v="96"/>
    <x v="17"/>
    <x v="10"/>
    <x v="87"/>
    <n v="2400"/>
    <n v="7"/>
  </r>
  <r>
    <x v="97"/>
    <x v="17"/>
    <x v="10"/>
    <x v="88"/>
    <n v="2200"/>
    <n v="7"/>
  </r>
  <r>
    <x v="98"/>
    <x v="17"/>
    <x v="10"/>
    <x v="89"/>
    <n v="3600"/>
    <n v="12"/>
  </r>
  <r>
    <x v="99"/>
    <x v="17"/>
    <x v="10"/>
    <x v="90"/>
    <n v="3200"/>
    <n v="10"/>
  </r>
  <r>
    <x v="100"/>
    <x v="17"/>
    <x v="10"/>
    <x v="91"/>
    <n v="2700"/>
    <n v="9"/>
  </r>
  <r>
    <x v="101"/>
    <x v="18"/>
    <x v="10"/>
    <x v="92"/>
    <n v="5800"/>
    <n v="7"/>
  </r>
  <r>
    <x v="102"/>
    <x v="18"/>
    <x v="10"/>
    <x v="93"/>
    <n v="6500"/>
    <n v="10"/>
  </r>
  <r>
    <x v="103"/>
    <x v="18"/>
    <x v="10"/>
    <x v="94"/>
    <n v="7900"/>
    <n v="12"/>
  </r>
  <r>
    <x v="104"/>
    <x v="18"/>
    <x v="10"/>
    <x v="95"/>
    <n v="8200"/>
    <n v="10"/>
  </r>
  <r>
    <x v="105"/>
    <x v="18"/>
    <x v="10"/>
    <x v="96"/>
    <n v="8000"/>
    <n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800D7B-9BFC-4006-AE48-3CFC841603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Title">
  <location ref="B3:D23" firstHeaderRow="0" firstDataRow="1" firstDataCol="1"/>
  <pivotFields count="9">
    <pivotField dataField="1" showAll="0"/>
    <pivotField axis="axisRow" showAll="0" sortType="descending">
      <items count="20">
        <item x="5"/>
        <item x="1"/>
        <item x="2"/>
        <item x="4"/>
        <item x="6"/>
        <item x="7"/>
        <item x="9"/>
        <item x="10"/>
        <item x="3"/>
        <item x="8"/>
        <item x="0"/>
        <item x="11"/>
        <item x="12"/>
        <item x="13"/>
        <item x="14"/>
        <item x="15"/>
        <item x="16"/>
        <item x="17"/>
        <item x="18"/>
        <item t="default"/>
      </items>
      <autoSortScope>
        <pivotArea dataOnly="0" outline="0" fieldPosition="0">
          <references count="1">
            <reference field="4294967294" count="1" selected="0">
              <x v="0"/>
            </reference>
          </references>
        </pivotArea>
      </autoSortScope>
    </pivotField>
    <pivotField showAll="0">
      <items count="12">
        <item x="0"/>
        <item x="1"/>
        <item x="2"/>
        <item x="3"/>
        <item x="4"/>
        <item x="5"/>
        <item x="6"/>
        <item x="7"/>
        <item x="8"/>
        <item x="9"/>
        <item x="10"/>
        <item t="default"/>
      </items>
    </pivotField>
    <pivotField numFmtId="22" showAll="0">
      <items count="98">
        <item x="3"/>
        <item x="0"/>
        <item x="6"/>
        <item x="10"/>
        <item x="23"/>
        <item x="94"/>
        <item x="19"/>
        <item x="2"/>
        <item x="89"/>
        <item x="1"/>
        <item x="76"/>
        <item x="56"/>
        <item x="30"/>
        <item x="63"/>
        <item x="16"/>
        <item x="31"/>
        <item x="46"/>
        <item x="85"/>
        <item x="96"/>
        <item x="32"/>
        <item x="27"/>
        <item x="26"/>
        <item x="75"/>
        <item x="54"/>
        <item x="83"/>
        <item x="57"/>
        <item x="64"/>
        <item x="25"/>
        <item x="41"/>
        <item x="47"/>
        <item x="53"/>
        <item x="95"/>
        <item x="59"/>
        <item x="15"/>
        <item x="78"/>
        <item x="20"/>
        <item x="60"/>
        <item x="17"/>
        <item x="52"/>
        <item x="4"/>
        <item x="5"/>
        <item x="8"/>
        <item x="93"/>
        <item x="90"/>
        <item x="82"/>
        <item x="55"/>
        <item x="33"/>
        <item x="18"/>
        <item x="11"/>
        <item x="43"/>
        <item x="14"/>
        <item x="91"/>
        <item x="71"/>
        <item x="9"/>
        <item x="74"/>
        <item x="42"/>
        <item x="48"/>
        <item x="51"/>
        <item x="77"/>
        <item x="49"/>
        <item x="67"/>
        <item x="68"/>
        <item x="58"/>
        <item x="65"/>
        <item x="84"/>
        <item x="61"/>
        <item x="86"/>
        <item x="79"/>
        <item x="34"/>
        <item x="21"/>
        <item x="50"/>
        <item x="80"/>
        <item x="13"/>
        <item x="44"/>
        <item x="66"/>
        <item x="36"/>
        <item x="45"/>
        <item x="73"/>
        <item x="12"/>
        <item x="69"/>
        <item x="22"/>
        <item x="24"/>
        <item x="92"/>
        <item x="29"/>
        <item x="7"/>
        <item x="87"/>
        <item x="62"/>
        <item x="35"/>
        <item x="70"/>
        <item x="37"/>
        <item x="28"/>
        <item x="72"/>
        <item x="88"/>
        <item x="38"/>
        <item x="81"/>
        <item x="39"/>
        <item x="40"/>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20">
    <i>
      <x v="8"/>
    </i>
    <i>
      <x v="3"/>
    </i>
    <i>
      <x v="6"/>
    </i>
    <i>
      <x v="14"/>
    </i>
    <i>
      <x v="1"/>
    </i>
    <i>
      <x v="4"/>
    </i>
    <i>
      <x v="13"/>
    </i>
    <i>
      <x v="11"/>
    </i>
    <i>
      <x v="15"/>
    </i>
    <i>
      <x v="10"/>
    </i>
    <i>
      <x/>
    </i>
    <i>
      <x v="18"/>
    </i>
    <i>
      <x v="5"/>
    </i>
    <i>
      <x v="7"/>
    </i>
    <i>
      <x v="9"/>
    </i>
    <i>
      <x v="2"/>
    </i>
    <i>
      <x v="16"/>
    </i>
    <i>
      <x v="17"/>
    </i>
    <i>
      <x v="12"/>
    </i>
    <i t="grand">
      <x/>
    </i>
  </rowItems>
  <colFields count="1">
    <field x="-2"/>
  </colFields>
  <colItems count="2">
    <i>
      <x/>
    </i>
    <i i="1">
      <x v="1"/>
    </i>
  </colItems>
  <dataFields count="2">
    <dataField name="Average Salary" fld="4" subtotal="average" baseField="1" baseItem="8" numFmtId="164"/>
    <dataField name="Total Employee" fld="0" subtotal="count" baseField="1" baseItem="8"/>
  </dataFields>
  <formats count="1">
    <format dxfId="0">
      <pivotArea outline="0" collapsedLevelsAreSubtotals="1" fieldPosition="0">
        <references count="1">
          <reference field="4294967294" count="1" selected="0">
            <x v="0"/>
          </reference>
        </references>
      </pivotArea>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42E64E-95C9-4458-AD7F-DB25CA7545B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partment Name">
  <location ref="G3:I15" firstHeaderRow="0" firstDataRow="1" firstDataCol="1"/>
  <pivotFields count="9">
    <pivotField dataField="1" showAll="0"/>
    <pivotField showAll="0"/>
    <pivotField axis="axisRow" showAll="0" sortType="descending">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numFmtId="22" showAll="0">
      <items count="98">
        <item x="3"/>
        <item x="0"/>
        <item x="6"/>
        <item x="10"/>
        <item x="23"/>
        <item x="94"/>
        <item x="19"/>
        <item x="2"/>
        <item x="89"/>
        <item x="1"/>
        <item x="76"/>
        <item x="56"/>
        <item x="30"/>
        <item x="63"/>
        <item x="16"/>
        <item x="31"/>
        <item x="46"/>
        <item x="85"/>
        <item x="96"/>
        <item x="32"/>
        <item x="27"/>
        <item x="26"/>
        <item x="75"/>
        <item x="54"/>
        <item x="83"/>
        <item x="57"/>
        <item x="64"/>
        <item x="25"/>
        <item x="41"/>
        <item x="47"/>
        <item x="53"/>
        <item x="95"/>
        <item x="59"/>
        <item x="15"/>
        <item x="78"/>
        <item x="20"/>
        <item x="60"/>
        <item x="17"/>
        <item x="52"/>
        <item x="4"/>
        <item x="5"/>
        <item x="8"/>
        <item x="93"/>
        <item x="90"/>
        <item x="82"/>
        <item x="55"/>
        <item x="33"/>
        <item x="18"/>
        <item x="11"/>
        <item x="43"/>
        <item x="14"/>
        <item x="91"/>
        <item x="71"/>
        <item x="9"/>
        <item x="74"/>
        <item x="42"/>
        <item x="48"/>
        <item x="51"/>
        <item x="77"/>
        <item x="49"/>
        <item x="67"/>
        <item x="68"/>
        <item x="58"/>
        <item x="65"/>
        <item x="84"/>
        <item x="61"/>
        <item x="86"/>
        <item x="79"/>
        <item x="34"/>
        <item x="21"/>
        <item x="50"/>
        <item x="80"/>
        <item x="13"/>
        <item x="44"/>
        <item x="66"/>
        <item x="36"/>
        <item x="45"/>
        <item x="73"/>
        <item x="12"/>
        <item x="69"/>
        <item x="22"/>
        <item x="24"/>
        <item x="92"/>
        <item x="29"/>
        <item x="7"/>
        <item x="87"/>
        <item x="62"/>
        <item x="35"/>
        <item x="70"/>
        <item x="37"/>
        <item x="28"/>
        <item x="72"/>
        <item x="88"/>
        <item x="38"/>
        <item x="81"/>
        <item x="39"/>
        <item x="40"/>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12">
    <i>
      <x v="2"/>
    </i>
    <i>
      <x/>
    </i>
    <i>
      <x v="7"/>
    </i>
    <i>
      <x v="6"/>
    </i>
    <i>
      <x v="9"/>
    </i>
    <i>
      <x v="3"/>
    </i>
    <i>
      <x v="4"/>
    </i>
    <i>
      <x v="5"/>
    </i>
    <i>
      <x v="1"/>
    </i>
    <i>
      <x v="8"/>
    </i>
    <i>
      <x v="10"/>
    </i>
    <i t="grand">
      <x/>
    </i>
  </rowItems>
  <colFields count="1">
    <field x="-2"/>
  </colFields>
  <colItems count="2">
    <i>
      <x/>
    </i>
    <i i="1">
      <x v="1"/>
    </i>
  </colItems>
  <dataFields count="2">
    <dataField name="Average Salary'" fld="4" subtotal="average" baseField="2" baseItem="2" numFmtId="164"/>
    <dataField name="Total Employee'" fld="0" subtotal="count" baseField="2" baseItem="2"/>
  </dataFields>
  <formats count="2">
    <format dxfId="2">
      <pivotArea outline="0" collapsedLevelsAreSubtotals="1" fieldPosition="0"/>
    </format>
    <format dxfId="1">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B1CA87-1BF5-4AC9-8740-2F31550F45B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8:U12" firstHeaderRow="1" firstDataRow="1" firstDataCol="1"/>
  <pivotFields count="9">
    <pivotField axis="axisRow" showAll="0" measureFilter="1" sortType="descending">
      <items count="107">
        <item x="104"/>
        <item x="73"/>
        <item x="28"/>
        <item x="13"/>
        <item x="22"/>
        <item x="62"/>
        <item x="35"/>
        <item x="52"/>
        <item x="44"/>
        <item x="64"/>
        <item x="70"/>
        <item x="14"/>
        <item x="39"/>
        <item x="56"/>
        <item x="60"/>
        <item x="83"/>
        <item x="7"/>
        <item x="40"/>
        <item x="58"/>
        <item x="42"/>
        <item x="17"/>
        <item x="26"/>
        <item x="15"/>
        <item x="75"/>
        <item x="76"/>
        <item x="31"/>
        <item x="49"/>
        <item x="51"/>
        <item x="27"/>
        <item x="80"/>
        <item x="24"/>
        <item x="46"/>
        <item x="97"/>
        <item x="20"/>
        <item x="87"/>
        <item x="9"/>
        <item x="54"/>
        <item x="88"/>
        <item x="92"/>
        <item x="33"/>
        <item x="94"/>
        <item x="78"/>
        <item x="66"/>
        <item x="2"/>
        <item x="6"/>
        <item x="100"/>
        <item x="30"/>
        <item x="53"/>
        <item x="10"/>
        <item x="85"/>
        <item x="63"/>
        <item x="86"/>
        <item x="25"/>
        <item x="29"/>
        <item x="65"/>
        <item x="74"/>
        <item x="101"/>
        <item x="96"/>
        <item x="90"/>
        <item x="4"/>
        <item x="36"/>
        <item x="45"/>
        <item x="37"/>
        <item x="8"/>
        <item x="79"/>
        <item x="41"/>
        <item x="105"/>
        <item x="18"/>
        <item x="95"/>
        <item x="91"/>
        <item x="11"/>
        <item x="61"/>
        <item x="55"/>
        <item x="5"/>
        <item x="32"/>
        <item x="19"/>
        <item x="34"/>
        <item x="103"/>
        <item x="57"/>
        <item x="93"/>
        <item x="82"/>
        <item x="68"/>
        <item x="98"/>
        <item x="71"/>
        <item x="69"/>
        <item x="38"/>
        <item x="59"/>
        <item x="102"/>
        <item x="1"/>
        <item x="21"/>
        <item x="23"/>
        <item x="99"/>
        <item x="3"/>
        <item x="89"/>
        <item x="43"/>
        <item x="50"/>
        <item x="12"/>
        <item x="47"/>
        <item x="67"/>
        <item x="81"/>
        <item x="84"/>
        <item x="16"/>
        <item x="72"/>
        <item x="0"/>
        <item x="48"/>
        <item x="77"/>
        <item t="default"/>
      </items>
      <autoSortScope>
        <pivotArea dataOnly="0" outline="0" fieldPosition="0">
          <references count="1">
            <reference field="4294967294" count="1" selected="0">
              <x v="0"/>
            </reference>
          </references>
        </pivotArea>
      </autoSortScope>
    </pivotField>
    <pivotField showAll="0"/>
    <pivotField showAll="0">
      <items count="12">
        <item x="0"/>
        <item x="1"/>
        <item x="2"/>
        <item x="3"/>
        <item x="4"/>
        <item x="5"/>
        <item x="6"/>
        <item x="7"/>
        <item x="8"/>
        <item x="9"/>
        <item x="10"/>
        <item t="default"/>
      </items>
    </pivotField>
    <pivotField numFmtId="22" showAll="0">
      <items count="98">
        <item x="3"/>
        <item x="0"/>
        <item x="6"/>
        <item x="10"/>
        <item x="23"/>
        <item x="94"/>
        <item x="19"/>
        <item x="2"/>
        <item x="89"/>
        <item x="1"/>
        <item x="76"/>
        <item x="56"/>
        <item x="30"/>
        <item x="63"/>
        <item x="16"/>
        <item x="31"/>
        <item x="46"/>
        <item x="85"/>
        <item x="96"/>
        <item x="32"/>
        <item x="27"/>
        <item x="26"/>
        <item x="75"/>
        <item x="54"/>
        <item x="83"/>
        <item x="57"/>
        <item x="64"/>
        <item x="25"/>
        <item x="41"/>
        <item x="47"/>
        <item x="53"/>
        <item x="95"/>
        <item x="59"/>
        <item x="15"/>
        <item x="78"/>
        <item x="20"/>
        <item x="60"/>
        <item x="17"/>
        <item x="52"/>
        <item x="4"/>
        <item x="5"/>
        <item x="8"/>
        <item x="93"/>
        <item x="90"/>
        <item x="82"/>
        <item x="55"/>
        <item x="33"/>
        <item x="18"/>
        <item x="11"/>
        <item x="43"/>
        <item x="14"/>
        <item x="91"/>
        <item x="71"/>
        <item x="9"/>
        <item x="74"/>
        <item x="42"/>
        <item x="48"/>
        <item x="51"/>
        <item x="77"/>
        <item x="49"/>
        <item x="67"/>
        <item x="68"/>
        <item x="58"/>
        <item x="65"/>
        <item x="84"/>
        <item x="61"/>
        <item x="86"/>
        <item x="79"/>
        <item x="34"/>
        <item x="21"/>
        <item x="50"/>
        <item x="80"/>
        <item x="13"/>
        <item x="44"/>
        <item x="66"/>
        <item x="36"/>
        <item x="45"/>
        <item x="73"/>
        <item x="12"/>
        <item x="69"/>
        <item x="22"/>
        <item x="24"/>
        <item x="92"/>
        <item x="29"/>
        <item x="7"/>
        <item x="87"/>
        <item x="62"/>
        <item x="35"/>
        <item x="70"/>
        <item x="37"/>
        <item x="28"/>
        <item x="72"/>
        <item x="88"/>
        <item x="38"/>
        <item x="81"/>
        <item x="39"/>
        <item x="40"/>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0"/>
  </rowFields>
  <rowItems count="4">
    <i>
      <x v="92"/>
    </i>
    <i>
      <x v="59"/>
    </i>
    <i>
      <x v="73"/>
    </i>
    <i t="grand">
      <x/>
    </i>
  </rowItems>
  <colItems count="1">
    <i/>
  </colItems>
  <dataFields count="1">
    <dataField name="Sum of SALARY"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C7B953-8757-4AF4-968E-555F58C7D5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X4" firstHeaderRow="0" firstDataRow="1" firstDataCol="0"/>
  <pivotFields count="9">
    <pivotField dataField="1" showAll="0"/>
    <pivotField showAll="0"/>
    <pivotField showAll="0">
      <items count="12">
        <item x="0"/>
        <item x="1"/>
        <item x="2"/>
        <item x="3"/>
        <item x="4"/>
        <item x="5"/>
        <item x="6"/>
        <item x="7"/>
        <item x="8"/>
        <item x="9"/>
        <item x="10"/>
        <item t="default"/>
      </items>
    </pivotField>
    <pivotField numFmtId="22" showAll="0">
      <items count="98">
        <item x="3"/>
        <item x="0"/>
        <item x="6"/>
        <item x="10"/>
        <item x="23"/>
        <item x="94"/>
        <item x="19"/>
        <item x="2"/>
        <item x="89"/>
        <item x="1"/>
        <item x="76"/>
        <item x="56"/>
        <item x="30"/>
        <item x="63"/>
        <item x="16"/>
        <item x="31"/>
        <item x="46"/>
        <item x="85"/>
        <item x="96"/>
        <item x="32"/>
        <item x="27"/>
        <item x="26"/>
        <item x="75"/>
        <item x="54"/>
        <item x="83"/>
        <item x="57"/>
        <item x="64"/>
        <item x="25"/>
        <item x="41"/>
        <item x="47"/>
        <item x="53"/>
        <item x="95"/>
        <item x="59"/>
        <item x="15"/>
        <item x="78"/>
        <item x="20"/>
        <item x="60"/>
        <item x="17"/>
        <item x="52"/>
        <item x="4"/>
        <item x="5"/>
        <item x="8"/>
        <item x="93"/>
        <item x="90"/>
        <item x="82"/>
        <item x="55"/>
        <item x="33"/>
        <item x="18"/>
        <item x="11"/>
        <item x="43"/>
        <item x="14"/>
        <item x="91"/>
        <item x="71"/>
        <item x="9"/>
        <item x="74"/>
        <item x="42"/>
        <item x="48"/>
        <item x="51"/>
        <item x="77"/>
        <item x="49"/>
        <item x="67"/>
        <item x="68"/>
        <item x="58"/>
        <item x="65"/>
        <item x="84"/>
        <item x="61"/>
        <item x="86"/>
        <item x="79"/>
        <item x="34"/>
        <item x="21"/>
        <item x="50"/>
        <item x="80"/>
        <item x="13"/>
        <item x="44"/>
        <item x="66"/>
        <item x="36"/>
        <item x="45"/>
        <item x="73"/>
        <item x="12"/>
        <item x="69"/>
        <item x="22"/>
        <item x="24"/>
        <item x="92"/>
        <item x="29"/>
        <item x="7"/>
        <item x="87"/>
        <item x="62"/>
        <item x="35"/>
        <item x="70"/>
        <item x="37"/>
        <item x="28"/>
        <item x="72"/>
        <item x="88"/>
        <item x="38"/>
        <item x="81"/>
        <item x="39"/>
        <item x="40"/>
        <item t="default"/>
      </items>
    </pivotField>
    <pivotField dataField="1" showAll="0"/>
    <pivotField dataField="1" showAll="0"/>
    <pivotField showAll="0" defaultSubtotal="0"/>
    <pivotField showAll="0" defaultSubtotal="0"/>
    <pivotField showAll="0" defaultSubtotal="0">
      <items count="10">
        <item x="0"/>
        <item x="1"/>
        <item x="2"/>
        <item x="3"/>
        <item x="4"/>
        <item x="5"/>
        <item x="6"/>
        <item x="7"/>
        <item x="8"/>
        <item x="9"/>
      </items>
    </pivotField>
  </pivotFields>
  <rowItems count="1">
    <i/>
  </rowItems>
  <colFields count="1">
    <field x="-2"/>
  </colFields>
  <colItems count="5">
    <i>
      <x/>
    </i>
    <i i="1">
      <x v="1"/>
    </i>
    <i i="2">
      <x v="2"/>
    </i>
    <i i="3">
      <x v="3"/>
    </i>
    <i i="4">
      <x v="4"/>
    </i>
  </colItems>
  <dataFields count="5">
    <dataField name="Total Salary" fld="4" baseField="0" baseItem="1" numFmtId="164"/>
    <dataField name="Total Employee''" fld="0" subtotal="count" baseField="0" baseItem="1"/>
    <dataField name="Average Year of Service" fld="5" subtotal="average" baseField="0" baseItem="2" numFmtId="2"/>
    <dataField name="Min of SALARY" fld="4" subtotal="min" baseField="0" baseItem="3"/>
    <dataField name="Max of SALARY" fld="4" subtotal="max" baseField="0" baseItem="4"/>
  </dataFields>
  <formats count="2">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2"/>
          </reference>
        </references>
      </pivotArea>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98AD0A-C44B-49FA-8A69-B9D62F2B2A2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N110" firstHeaderRow="0" firstDataRow="1" firstDataCol="1"/>
  <pivotFields count="9">
    <pivotField axis="axisRow" showAll="0" sortType="descending">
      <items count="107">
        <item x="104"/>
        <item x="73"/>
        <item x="28"/>
        <item x="13"/>
        <item x="22"/>
        <item x="62"/>
        <item x="35"/>
        <item x="52"/>
        <item x="44"/>
        <item x="64"/>
        <item x="70"/>
        <item x="14"/>
        <item x="39"/>
        <item x="56"/>
        <item x="60"/>
        <item x="83"/>
        <item x="7"/>
        <item x="40"/>
        <item x="58"/>
        <item x="42"/>
        <item x="17"/>
        <item x="26"/>
        <item x="15"/>
        <item x="75"/>
        <item x="76"/>
        <item x="31"/>
        <item x="49"/>
        <item x="51"/>
        <item x="27"/>
        <item x="80"/>
        <item x="24"/>
        <item x="46"/>
        <item x="97"/>
        <item x="20"/>
        <item x="87"/>
        <item x="9"/>
        <item x="54"/>
        <item x="88"/>
        <item x="92"/>
        <item x="33"/>
        <item x="94"/>
        <item x="78"/>
        <item x="66"/>
        <item x="2"/>
        <item x="6"/>
        <item x="100"/>
        <item x="30"/>
        <item x="53"/>
        <item x="10"/>
        <item x="85"/>
        <item x="63"/>
        <item x="86"/>
        <item x="25"/>
        <item x="29"/>
        <item x="65"/>
        <item x="74"/>
        <item x="101"/>
        <item x="96"/>
        <item x="90"/>
        <item x="4"/>
        <item x="36"/>
        <item x="45"/>
        <item x="37"/>
        <item x="8"/>
        <item x="79"/>
        <item x="41"/>
        <item x="105"/>
        <item x="18"/>
        <item x="95"/>
        <item x="91"/>
        <item x="11"/>
        <item x="61"/>
        <item x="55"/>
        <item x="5"/>
        <item x="32"/>
        <item x="19"/>
        <item x="34"/>
        <item x="103"/>
        <item x="57"/>
        <item x="93"/>
        <item x="82"/>
        <item x="68"/>
        <item x="98"/>
        <item x="71"/>
        <item x="69"/>
        <item x="38"/>
        <item x="59"/>
        <item x="102"/>
        <item x="1"/>
        <item x="21"/>
        <item x="23"/>
        <item x="99"/>
        <item x="3"/>
        <item x="89"/>
        <item x="43"/>
        <item x="50"/>
        <item x="12"/>
        <item x="47"/>
        <item x="67"/>
        <item x="81"/>
        <item x="84"/>
        <item x="16"/>
        <item x="72"/>
        <item x="0"/>
        <item x="48"/>
        <item x="77"/>
        <item t="default"/>
      </items>
      <autoSortScope>
        <pivotArea dataOnly="0" outline="0" fieldPosition="0">
          <references count="1">
            <reference field="4294967294" count="1" selected="0">
              <x v="0"/>
            </reference>
          </references>
        </pivotArea>
      </autoSortScope>
    </pivotField>
    <pivotField showAll="0"/>
    <pivotField showAll="0">
      <items count="12">
        <item x="0"/>
        <item x="1"/>
        <item x="2"/>
        <item x="3"/>
        <item x="4"/>
        <item x="5"/>
        <item x="6"/>
        <item x="7"/>
        <item x="8"/>
        <item x="9"/>
        <item x="10"/>
        <item t="default"/>
      </items>
    </pivotField>
    <pivotField numFmtId="22" showAll="0">
      <items count="98">
        <item x="3"/>
        <item x="0"/>
        <item x="6"/>
        <item x="10"/>
        <item x="23"/>
        <item x="94"/>
        <item x="19"/>
        <item x="2"/>
        <item x="89"/>
        <item x="1"/>
        <item x="76"/>
        <item x="56"/>
        <item x="30"/>
        <item x="63"/>
        <item x="16"/>
        <item x="31"/>
        <item x="46"/>
        <item x="85"/>
        <item x="96"/>
        <item x="32"/>
        <item x="27"/>
        <item x="26"/>
        <item x="75"/>
        <item x="54"/>
        <item x="83"/>
        <item x="57"/>
        <item x="64"/>
        <item x="25"/>
        <item x="41"/>
        <item x="47"/>
        <item x="53"/>
        <item x="95"/>
        <item x="59"/>
        <item x="15"/>
        <item x="78"/>
        <item x="20"/>
        <item x="60"/>
        <item x="17"/>
        <item x="52"/>
        <item x="4"/>
        <item x="5"/>
        <item x="8"/>
        <item x="93"/>
        <item x="90"/>
        <item x="82"/>
        <item x="55"/>
        <item x="33"/>
        <item x="18"/>
        <item x="11"/>
        <item x="43"/>
        <item x="14"/>
        <item x="91"/>
        <item x="71"/>
        <item x="9"/>
        <item x="74"/>
        <item x="42"/>
        <item x="48"/>
        <item x="51"/>
        <item x="77"/>
        <item x="49"/>
        <item x="67"/>
        <item x="68"/>
        <item x="58"/>
        <item x="65"/>
        <item x="84"/>
        <item x="61"/>
        <item x="86"/>
        <item x="79"/>
        <item x="34"/>
        <item x="21"/>
        <item x="50"/>
        <item x="80"/>
        <item x="13"/>
        <item x="44"/>
        <item x="66"/>
        <item x="36"/>
        <item x="45"/>
        <item x="73"/>
        <item x="12"/>
        <item x="69"/>
        <item x="22"/>
        <item x="24"/>
        <item x="92"/>
        <item x="29"/>
        <item x="7"/>
        <item x="87"/>
        <item x="62"/>
        <item x="35"/>
        <item x="70"/>
        <item x="37"/>
        <item x="28"/>
        <item x="72"/>
        <item x="88"/>
        <item x="38"/>
        <item x="81"/>
        <item x="39"/>
        <item x="40"/>
        <item t="default"/>
      </items>
    </pivotField>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0"/>
  </rowFields>
  <rowItems count="107">
    <i>
      <x v="92"/>
    </i>
    <i>
      <x v="59"/>
    </i>
    <i>
      <x v="73"/>
    </i>
    <i>
      <x v="46"/>
    </i>
    <i>
      <x v="53"/>
    </i>
    <i>
      <x v="67"/>
    </i>
    <i>
      <x v="70"/>
    </i>
    <i>
      <x v="88"/>
    </i>
    <i>
      <x v="2"/>
    </i>
    <i>
      <x v="61"/>
    </i>
    <i>
      <x v="21"/>
    </i>
    <i>
      <x v="28"/>
    </i>
    <i>
      <x v="27"/>
    </i>
    <i>
      <x v="25"/>
    </i>
    <i>
      <x v="14"/>
    </i>
    <i>
      <x v="86"/>
    </i>
    <i>
      <x v="31"/>
    </i>
    <i>
      <x v="39"/>
    </i>
    <i>
      <x v="33"/>
    </i>
    <i>
      <x v="97"/>
    </i>
    <i>
      <x v="76"/>
    </i>
    <i>
      <x v="17"/>
    </i>
    <i>
      <x v="18"/>
    </i>
    <i>
      <x v="6"/>
    </i>
    <i>
      <x v="3"/>
    </i>
    <i>
      <x v="16"/>
    </i>
    <i>
      <x v="78"/>
    </i>
    <i>
      <x v="7"/>
    </i>
    <i>
      <x v="47"/>
    </i>
    <i>
      <x v="36"/>
    </i>
    <i>
      <x v="103"/>
    </i>
    <i>
      <x v="44"/>
    </i>
    <i>
      <x/>
    </i>
    <i>
      <x v="66"/>
    </i>
    <i>
      <x v="13"/>
    </i>
    <i>
      <x v="60"/>
    </i>
    <i>
      <x v="77"/>
    </i>
    <i>
      <x v="48"/>
    </i>
    <i>
      <x v="35"/>
    </i>
    <i>
      <x v="72"/>
    </i>
    <i>
      <x v="62"/>
    </i>
    <i>
      <x v="104"/>
    </i>
    <i>
      <x v="26"/>
    </i>
    <i>
      <x v="65"/>
    </i>
    <i>
      <x v="85"/>
    </i>
    <i>
      <x v="74"/>
    </i>
    <i>
      <x v="63"/>
    </i>
    <i>
      <x v="19"/>
    </i>
    <i>
      <x v="87"/>
    </i>
    <i>
      <x v="96"/>
    </i>
    <i>
      <x v="94"/>
    </i>
    <i>
      <x v="8"/>
    </i>
    <i>
      <x v="12"/>
    </i>
    <i>
      <x v="95"/>
    </i>
    <i>
      <x v="11"/>
    </i>
    <i>
      <x v="75"/>
    </i>
    <i>
      <x v="56"/>
    </i>
    <i>
      <x v="101"/>
    </i>
    <i>
      <x v="20"/>
    </i>
    <i>
      <x v="43"/>
    </i>
    <i>
      <x v="22"/>
    </i>
    <i>
      <x v="71"/>
    </i>
    <i>
      <x v="5"/>
    </i>
    <i>
      <x v="84"/>
    </i>
    <i>
      <x v="10"/>
    </i>
    <i>
      <x v="54"/>
    </i>
    <i>
      <x v="42"/>
    </i>
    <i>
      <x v="82"/>
    </i>
    <i>
      <x v="100"/>
    </i>
    <i>
      <x v="50"/>
    </i>
    <i>
      <x v="58"/>
    </i>
    <i>
      <x v="40"/>
    </i>
    <i>
      <x v="91"/>
    </i>
    <i>
      <x v="83"/>
    </i>
    <i>
      <x v="105"/>
    </i>
    <i>
      <x v="51"/>
    </i>
    <i>
      <x v="41"/>
    </i>
    <i>
      <x v="4"/>
    </i>
    <i>
      <x v="1"/>
    </i>
    <i>
      <x v="15"/>
    </i>
    <i>
      <x v="9"/>
    </i>
    <i>
      <x v="55"/>
    </i>
    <i>
      <x v="98"/>
    </i>
    <i>
      <x v="68"/>
    </i>
    <i>
      <x v="89"/>
    </i>
    <i>
      <x v="29"/>
    </i>
    <i>
      <x v="102"/>
    </i>
    <i>
      <x v="69"/>
    </i>
    <i>
      <x v="90"/>
    </i>
    <i>
      <x v="45"/>
    </i>
    <i>
      <x v="34"/>
    </i>
    <i>
      <x v="30"/>
    </i>
    <i>
      <x v="23"/>
    </i>
    <i>
      <x v="24"/>
    </i>
    <i>
      <x v="80"/>
    </i>
    <i>
      <x v="49"/>
    </i>
    <i>
      <x v="64"/>
    </i>
    <i>
      <x v="81"/>
    </i>
    <i>
      <x v="38"/>
    </i>
    <i>
      <x v="79"/>
    </i>
    <i>
      <x v="52"/>
    </i>
    <i>
      <x v="37"/>
    </i>
    <i>
      <x v="57"/>
    </i>
    <i>
      <x v="32"/>
    </i>
    <i>
      <x v="93"/>
    </i>
    <i>
      <x v="99"/>
    </i>
    <i t="grand">
      <x/>
    </i>
  </rowItems>
  <colFields count="1">
    <field x="-2"/>
  </colFields>
  <colItems count="2">
    <i>
      <x/>
    </i>
    <i i="1">
      <x v="1"/>
    </i>
  </colItems>
  <dataFields count="2">
    <dataField name="Salary1" fld="4" baseField="0" baseItem="0" numFmtId="164"/>
    <dataField name="Years of Service" fld="5" baseField="0" baseItem="0"/>
  </dataFields>
  <formats count="1">
    <format dxfId="5">
      <pivotArea outline="0" collapsedLevelsAreSubtotals="1" fieldPosition="0">
        <references count="1">
          <reference field="4294967294" count="1" selected="0">
            <x v="0"/>
          </reference>
        </references>
      </pivotArea>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40CE453-6559-4C55-831D-B2AD7C7F7514}" autoFormatId="16" applyNumberFormats="0" applyBorderFormats="0" applyFontFormats="0" applyPatternFormats="0" applyAlignmentFormats="0" applyWidthHeightFormats="0">
  <queryTableRefresh nextId="7">
    <queryTableFields count="6">
      <queryTableField id="1" name="FULL_NAME" tableColumnId="1"/>
      <queryTableField id="2" name="JOB_TITLE" tableColumnId="2"/>
      <queryTableField id="3" name="DEPARTMENT_NAME" tableColumnId="3"/>
      <queryTableField id="4" name="HIRE_DATE" tableColumnId="4"/>
      <queryTableField id="5" name="SALARY" tableColumnId="5"/>
      <queryTableField id="6" name="YEARS_OF_SERVIC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B7D3A5FC-F094-40D5-A35D-F696E21CBE88}" sourceName="DEPARTMENT_NAME">
  <pivotTables>
    <pivotTable tabId="1" name="PivotTable1"/>
    <pivotTable tabId="1" name="PivotTable2"/>
    <pivotTable tabId="1" name="PivotTable3"/>
    <pivotTable tabId="1" name="PivotTable4"/>
    <pivotTable tabId="1" name="PivotTable5"/>
  </pivotTables>
  <data>
    <tabular pivotCacheId="1377494701">
      <items count="1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_NAME" xr10:uid="{21A33808-9609-437B-9601-D3B4231BB01B}" cache="Slicer_DEPARTMENT_NAME" caption="DEPARTMENT_NAME" startItem="10" showCaption="0"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C871B7-274A-43CF-BBDF-88458285720A}" name="emptbl" displayName="emptbl" ref="A1:F107" tableType="queryTable" totalsRowShown="0">
  <autoFilter ref="A1:F107" xr:uid="{EBC871B7-274A-43CF-BBDF-88458285720A}"/>
  <tableColumns count="6">
    <tableColumn id="1" xr3:uid="{4A94567F-4ED1-4202-8357-3FBF53EC8894}" uniqueName="1" name="FULL_NAME" queryTableFieldId="1" dataDxfId="9"/>
    <tableColumn id="2" xr3:uid="{1DD60450-55C1-48C8-BBE2-C3B2891BB63B}" uniqueName="2" name="JOB_TITLE" queryTableFieldId="2" dataDxfId="8"/>
    <tableColumn id="3" xr3:uid="{B4F103C7-E8AC-44BB-A4DF-147A8760A9A3}" uniqueName="3" name="DEPARTMENT_NAME" queryTableFieldId="3" dataDxfId="7"/>
    <tableColumn id="4" xr3:uid="{D2FFA3C1-186C-488A-8780-034A728A12B9}" uniqueName="4" name="HIRE_DATE" queryTableFieldId="4" dataDxfId="6"/>
    <tableColumn id="5" xr3:uid="{D1CAEC3F-6715-4337-92AC-3866AAB783A1}" uniqueName="5" name="SALARY" queryTableFieldId="5"/>
    <tableColumn id="6" xr3:uid="{141883BB-FE2F-4611-894E-2B3A10E0C6ED}" uniqueName="6" name="YEARS_OF_SERVICE"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C08FD-F7B3-4AA0-849A-8282D9034E5D}">
  <dimension ref="A1:F107"/>
  <sheetViews>
    <sheetView workbookViewId="0">
      <selection activeCell="B10" sqref="B10"/>
    </sheetView>
  </sheetViews>
  <sheetFormatPr defaultRowHeight="14.5" x14ac:dyDescent="0.35"/>
  <cols>
    <col min="1" max="1" width="17.54296875" bestFit="1" customWidth="1"/>
    <col min="2" max="2" width="29.08984375" bestFit="1" customWidth="1"/>
    <col min="3" max="3" width="21.08984375" bestFit="1" customWidth="1"/>
    <col min="4" max="4" width="15.54296875" bestFit="1" customWidth="1"/>
    <col min="5" max="5" width="9.26953125" bestFit="1" customWidth="1"/>
    <col min="6" max="6" width="19.54296875" bestFit="1" customWidth="1"/>
  </cols>
  <sheetData>
    <row r="1" spans="1:6" x14ac:dyDescent="0.35">
      <c r="A1" t="s">
        <v>0</v>
      </c>
      <c r="B1" t="s">
        <v>1</v>
      </c>
      <c r="C1" t="s">
        <v>2</v>
      </c>
      <c r="D1" t="s">
        <v>3</v>
      </c>
      <c r="E1" t="s">
        <v>4</v>
      </c>
      <c r="F1" t="s">
        <v>5</v>
      </c>
    </row>
    <row r="2" spans="1:6" x14ac:dyDescent="0.35">
      <c r="A2" t="s">
        <v>6</v>
      </c>
      <c r="B2" t="s">
        <v>7</v>
      </c>
      <c r="C2" t="s">
        <v>8</v>
      </c>
      <c r="D2" s="1">
        <v>41067.291666666664</v>
      </c>
      <c r="E2">
        <v>8300</v>
      </c>
      <c r="F2">
        <v>13</v>
      </c>
    </row>
    <row r="3" spans="1:6" x14ac:dyDescent="0.35">
      <c r="A3" t="s">
        <v>9</v>
      </c>
      <c r="B3" t="s">
        <v>10</v>
      </c>
      <c r="C3" t="s">
        <v>8</v>
      </c>
      <c r="D3" s="1">
        <v>41067.291666666664</v>
      </c>
      <c r="E3">
        <v>12008</v>
      </c>
      <c r="F3">
        <v>13</v>
      </c>
    </row>
    <row r="4" spans="1:6" x14ac:dyDescent="0.35">
      <c r="A4" t="s">
        <v>11</v>
      </c>
      <c r="B4" t="s">
        <v>12</v>
      </c>
      <c r="C4" t="s">
        <v>13</v>
      </c>
      <c r="D4" s="1">
        <v>41534.291666666664</v>
      </c>
      <c r="E4">
        <v>4400</v>
      </c>
      <c r="F4">
        <v>12</v>
      </c>
    </row>
    <row r="5" spans="1:6" x14ac:dyDescent="0.35">
      <c r="A5" t="s">
        <v>14</v>
      </c>
      <c r="B5" t="s">
        <v>15</v>
      </c>
      <c r="C5" t="s">
        <v>16</v>
      </c>
      <c r="D5" s="1">
        <v>41442.291666666664</v>
      </c>
      <c r="E5">
        <v>24000</v>
      </c>
      <c r="F5">
        <v>12</v>
      </c>
    </row>
    <row r="6" spans="1:6" x14ac:dyDescent="0.35">
      <c r="A6" t="s">
        <v>17</v>
      </c>
      <c r="B6" t="s">
        <v>18</v>
      </c>
      <c r="C6" t="s">
        <v>16</v>
      </c>
      <c r="D6" s="1">
        <v>40556.291666666664</v>
      </c>
      <c r="E6">
        <v>17000</v>
      </c>
      <c r="F6">
        <v>14</v>
      </c>
    </row>
    <row r="7" spans="1:6" x14ac:dyDescent="0.35">
      <c r="A7" t="s">
        <v>19</v>
      </c>
      <c r="B7" t="s">
        <v>18</v>
      </c>
      <c r="C7" t="s">
        <v>16</v>
      </c>
      <c r="D7" s="1">
        <v>42268.291666666664</v>
      </c>
      <c r="E7">
        <v>17000</v>
      </c>
      <c r="F7">
        <v>10</v>
      </c>
    </row>
    <row r="8" spans="1:6" x14ac:dyDescent="0.35">
      <c r="A8" t="s">
        <v>20</v>
      </c>
      <c r="B8" t="s">
        <v>21</v>
      </c>
      <c r="C8" t="s">
        <v>22</v>
      </c>
      <c r="D8" s="1">
        <v>42275.291666666664</v>
      </c>
      <c r="E8">
        <v>8200</v>
      </c>
      <c r="F8">
        <v>10</v>
      </c>
    </row>
    <row r="9" spans="1:6" x14ac:dyDescent="0.35">
      <c r="A9" t="s">
        <v>23</v>
      </c>
      <c r="B9" t="s">
        <v>21</v>
      </c>
      <c r="C9" t="s">
        <v>22</v>
      </c>
      <c r="D9" s="1">
        <v>41137.291666666664</v>
      </c>
      <c r="E9">
        <v>9000</v>
      </c>
      <c r="F9">
        <v>13</v>
      </c>
    </row>
    <row r="10" spans="1:6" x14ac:dyDescent="0.35">
      <c r="A10" t="s">
        <v>24</v>
      </c>
      <c r="B10" t="s">
        <v>21</v>
      </c>
      <c r="C10" t="s">
        <v>22</v>
      </c>
      <c r="D10" s="1">
        <v>43076.291666666664</v>
      </c>
      <c r="E10">
        <v>6900</v>
      </c>
      <c r="F10">
        <v>7</v>
      </c>
    </row>
    <row r="11" spans="1:6" x14ac:dyDescent="0.35">
      <c r="A11" t="s">
        <v>25</v>
      </c>
      <c r="B11" t="s">
        <v>21</v>
      </c>
      <c r="C11" t="s">
        <v>22</v>
      </c>
      <c r="D11" s="1">
        <v>42277.291666666664</v>
      </c>
      <c r="E11">
        <v>7700</v>
      </c>
      <c r="F11">
        <v>10</v>
      </c>
    </row>
    <row r="12" spans="1:6" x14ac:dyDescent="0.35">
      <c r="A12" t="s">
        <v>26</v>
      </c>
      <c r="B12" t="s">
        <v>21</v>
      </c>
      <c r="C12" t="s">
        <v>22</v>
      </c>
      <c r="D12" s="1">
        <v>42436.291666666664</v>
      </c>
      <c r="E12">
        <v>7800</v>
      </c>
      <c r="F12">
        <v>9</v>
      </c>
    </row>
    <row r="13" spans="1:6" x14ac:dyDescent="0.35">
      <c r="A13" t="s">
        <v>27</v>
      </c>
      <c r="B13" t="s">
        <v>28</v>
      </c>
      <c r="C13" t="s">
        <v>22</v>
      </c>
      <c r="D13" s="1">
        <v>41138.291666666664</v>
      </c>
      <c r="E13">
        <v>12008</v>
      </c>
      <c r="F13">
        <v>13</v>
      </c>
    </row>
    <row r="14" spans="1:6" x14ac:dyDescent="0.35">
      <c r="A14" t="s">
        <v>29</v>
      </c>
      <c r="B14" t="s">
        <v>30</v>
      </c>
      <c r="C14" t="s">
        <v>31</v>
      </c>
      <c r="D14" s="1">
        <v>41067.291666666664</v>
      </c>
      <c r="E14">
        <v>6500</v>
      </c>
      <c r="F14">
        <v>13</v>
      </c>
    </row>
    <row r="15" spans="1:6" x14ac:dyDescent="0.35">
      <c r="A15" t="s">
        <v>32</v>
      </c>
      <c r="B15" t="s">
        <v>33</v>
      </c>
      <c r="C15" t="s">
        <v>34</v>
      </c>
      <c r="D15" s="1">
        <v>42372.291666666664</v>
      </c>
      <c r="E15">
        <v>9000</v>
      </c>
      <c r="F15">
        <v>9</v>
      </c>
    </row>
    <row r="16" spans="1:6" x14ac:dyDescent="0.35">
      <c r="A16" t="s">
        <v>35</v>
      </c>
      <c r="B16" t="s">
        <v>33</v>
      </c>
      <c r="C16" t="s">
        <v>34</v>
      </c>
      <c r="D16" s="1">
        <v>42876.291666666664</v>
      </c>
      <c r="E16">
        <v>6000</v>
      </c>
      <c r="F16">
        <v>8</v>
      </c>
    </row>
    <row r="17" spans="1:6" x14ac:dyDescent="0.35">
      <c r="A17" t="s">
        <v>36</v>
      </c>
      <c r="B17" t="s">
        <v>33</v>
      </c>
      <c r="C17" t="s">
        <v>34</v>
      </c>
      <c r="D17" s="1">
        <v>42773.291666666664</v>
      </c>
      <c r="E17">
        <v>4200</v>
      </c>
      <c r="F17">
        <v>8</v>
      </c>
    </row>
    <row r="18" spans="1:6" x14ac:dyDescent="0.35">
      <c r="A18" t="s">
        <v>37</v>
      </c>
      <c r="B18" t="s">
        <v>33</v>
      </c>
      <c r="C18" t="s">
        <v>34</v>
      </c>
      <c r="D18" s="1">
        <v>42405.291666666664</v>
      </c>
      <c r="E18">
        <v>4800</v>
      </c>
      <c r="F18">
        <v>9</v>
      </c>
    </row>
    <row r="19" spans="1:6" x14ac:dyDescent="0.35">
      <c r="A19" t="s">
        <v>38</v>
      </c>
      <c r="B19" t="s">
        <v>33</v>
      </c>
      <c r="C19" t="s">
        <v>34</v>
      </c>
      <c r="D19" s="1">
        <v>42180.291666666664</v>
      </c>
      <c r="E19">
        <v>4800</v>
      </c>
      <c r="F19">
        <v>10</v>
      </c>
    </row>
    <row r="20" spans="1:6" x14ac:dyDescent="0.35">
      <c r="A20" t="s">
        <v>39</v>
      </c>
      <c r="B20" t="s">
        <v>40</v>
      </c>
      <c r="C20" t="s">
        <v>41</v>
      </c>
      <c r="D20" s="1">
        <v>41687.291666666664</v>
      </c>
      <c r="E20">
        <v>13000</v>
      </c>
      <c r="F20">
        <v>11</v>
      </c>
    </row>
    <row r="21" spans="1:6" x14ac:dyDescent="0.35">
      <c r="A21" t="s">
        <v>42</v>
      </c>
      <c r="B21" t="s">
        <v>43</v>
      </c>
      <c r="C21" t="s">
        <v>41</v>
      </c>
      <c r="D21" s="1">
        <v>42233.291666666664</v>
      </c>
      <c r="E21">
        <v>6000</v>
      </c>
      <c r="F21">
        <v>10</v>
      </c>
    </row>
    <row r="22" spans="1:6" x14ac:dyDescent="0.35">
      <c r="A22" t="s">
        <v>44</v>
      </c>
      <c r="B22" t="s">
        <v>45</v>
      </c>
      <c r="C22" t="s">
        <v>46</v>
      </c>
      <c r="D22" s="1">
        <v>41067.291666666664</v>
      </c>
      <c r="E22">
        <v>10000</v>
      </c>
      <c r="F22">
        <v>13</v>
      </c>
    </row>
    <row r="23" spans="1:6" x14ac:dyDescent="0.35">
      <c r="A23" t="s">
        <v>47</v>
      </c>
      <c r="B23" t="s">
        <v>48</v>
      </c>
      <c r="C23" t="s">
        <v>49</v>
      </c>
      <c r="D23" s="1">
        <v>42362.291666666664</v>
      </c>
      <c r="E23">
        <v>2900</v>
      </c>
      <c r="F23">
        <v>9</v>
      </c>
    </row>
    <row r="24" spans="1:6" x14ac:dyDescent="0.35">
      <c r="A24" t="s">
        <v>50</v>
      </c>
      <c r="B24" t="s">
        <v>48</v>
      </c>
      <c r="C24" t="s">
        <v>49</v>
      </c>
      <c r="D24" s="1">
        <v>41412.291666666664</v>
      </c>
      <c r="E24">
        <v>3100</v>
      </c>
      <c r="F24">
        <v>12</v>
      </c>
    </row>
    <row r="25" spans="1:6" x14ac:dyDescent="0.35">
      <c r="A25" t="s">
        <v>51</v>
      </c>
      <c r="B25" t="s">
        <v>48</v>
      </c>
      <c r="C25" t="s">
        <v>49</v>
      </c>
      <c r="D25" s="1">
        <v>42209.291666666664</v>
      </c>
      <c r="E25">
        <v>2800</v>
      </c>
      <c r="F25">
        <v>10</v>
      </c>
    </row>
    <row r="26" spans="1:6" x14ac:dyDescent="0.35">
      <c r="A26" t="s">
        <v>52</v>
      </c>
      <c r="B26" t="s">
        <v>48</v>
      </c>
      <c r="C26" t="s">
        <v>49</v>
      </c>
      <c r="D26" s="1">
        <v>42689.291666666664</v>
      </c>
      <c r="E26">
        <v>2600</v>
      </c>
      <c r="F26">
        <v>8</v>
      </c>
    </row>
    <row r="27" spans="1:6" x14ac:dyDescent="0.35">
      <c r="A27" t="s">
        <v>53</v>
      </c>
      <c r="B27" t="s">
        <v>48</v>
      </c>
      <c r="C27" t="s">
        <v>49</v>
      </c>
      <c r="D27" s="1">
        <v>42957.291666666664</v>
      </c>
      <c r="E27">
        <v>2500</v>
      </c>
      <c r="F27">
        <v>8</v>
      </c>
    </row>
    <row r="28" spans="1:6" x14ac:dyDescent="0.35">
      <c r="A28" t="s">
        <v>54</v>
      </c>
      <c r="B28" t="s">
        <v>55</v>
      </c>
      <c r="C28" t="s">
        <v>49</v>
      </c>
      <c r="D28" s="1">
        <v>41250.291666666664</v>
      </c>
      <c r="E28">
        <v>11000</v>
      </c>
      <c r="F28">
        <v>12</v>
      </c>
    </row>
    <row r="29" spans="1:6" x14ac:dyDescent="0.35">
      <c r="A29" t="s">
        <v>56</v>
      </c>
      <c r="B29" t="s">
        <v>57</v>
      </c>
      <c r="C29" t="s">
        <v>58</v>
      </c>
      <c r="D29" s="1">
        <v>43023.291666666664</v>
      </c>
      <c r="E29">
        <v>11000</v>
      </c>
      <c r="F29">
        <v>8</v>
      </c>
    </row>
    <row r="30" spans="1:6" x14ac:dyDescent="0.35">
      <c r="A30" t="s">
        <v>59</v>
      </c>
      <c r="B30" t="s">
        <v>57</v>
      </c>
      <c r="C30" t="s">
        <v>58</v>
      </c>
      <c r="D30" s="1">
        <v>42073.291666666664</v>
      </c>
      <c r="E30">
        <v>12000</v>
      </c>
      <c r="F30">
        <v>10</v>
      </c>
    </row>
    <row r="31" spans="1:6" x14ac:dyDescent="0.35">
      <c r="A31" t="s">
        <v>60</v>
      </c>
      <c r="B31" t="s">
        <v>57</v>
      </c>
      <c r="C31" t="s">
        <v>58</v>
      </c>
      <c r="D31" s="1">
        <v>42009.291666666664</v>
      </c>
      <c r="E31">
        <v>13500</v>
      </c>
      <c r="F31">
        <v>10</v>
      </c>
    </row>
    <row r="32" spans="1:6" x14ac:dyDescent="0.35">
      <c r="A32" t="s">
        <v>61</v>
      </c>
      <c r="B32" t="s">
        <v>57</v>
      </c>
      <c r="C32" t="s">
        <v>58</v>
      </c>
      <c r="D32" s="1">
        <v>41913.291666666664</v>
      </c>
      <c r="E32">
        <v>14000</v>
      </c>
      <c r="F32">
        <v>11</v>
      </c>
    </row>
    <row r="33" spans="1:6" x14ac:dyDescent="0.35">
      <c r="A33" t="s">
        <v>62</v>
      </c>
      <c r="B33" t="s">
        <v>57</v>
      </c>
      <c r="C33" t="s">
        <v>58</v>
      </c>
      <c r="D33" s="1">
        <v>43129.291666666664</v>
      </c>
      <c r="E33">
        <v>10500</v>
      </c>
      <c r="F33">
        <v>7</v>
      </c>
    </row>
    <row r="34" spans="1:6" x14ac:dyDescent="0.35">
      <c r="A34" t="s">
        <v>63</v>
      </c>
      <c r="B34" t="s">
        <v>64</v>
      </c>
      <c r="C34" t="s">
        <v>58</v>
      </c>
      <c r="D34" s="1">
        <v>43062.291666666664</v>
      </c>
      <c r="E34">
        <v>7000</v>
      </c>
      <c r="F34">
        <v>7</v>
      </c>
    </row>
    <row r="35" spans="1:6" x14ac:dyDescent="0.35">
      <c r="A35" t="s">
        <v>65</v>
      </c>
      <c r="B35" t="s">
        <v>64</v>
      </c>
      <c r="C35" t="s">
        <v>58</v>
      </c>
      <c r="D35" s="1">
        <v>41669.291666666664</v>
      </c>
      <c r="E35">
        <v>10000</v>
      </c>
      <c r="F35">
        <v>11</v>
      </c>
    </row>
    <row r="36" spans="1:6" x14ac:dyDescent="0.35">
      <c r="A36" t="s">
        <v>66</v>
      </c>
      <c r="B36" t="s">
        <v>64</v>
      </c>
      <c r="C36" t="s">
        <v>58</v>
      </c>
      <c r="D36" s="1">
        <v>41702.291666666664</v>
      </c>
      <c r="E36">
        <v>9500</v>
      </c>
      <c r="F36">
        <v>11</v>
      </c>
    </row>
    <row r="37" spans="1:6" x14ac:dyDescent="0.35">
      <c r="A37" t="s">
        <v>67</v>
      </c>
      <c r="B37" t="s">
        <v>64</v>
      </c>
      <c r="C37" t="s">
        <v>58</v>
      </c>
      <c r="D37" s="1">
        <v>41852.291666666664</v>
      </c>
      <c r="E37">
        <v>9000</v>
      </c>
      <c r="F37">
        <v>11</v>
      </c>
    </row>
    <row r="38" spans="1:6" x14ac:dyDescent="0.35">
      <c r="A38" t="s">
        <v>68</v>
      </c>
      <c r="B38" t="s">
        <v>64</v>
      </c>
      <c r="C38" t="s">
        <v>58</v>
      </c>
      <c r="D38" s="1">
        <v>42073.291666666664</v>
      </c>
      <c r="E38">
        <v>8000</v>
      </c>
      <c r="F38">
        <v>10</v>
      </c>
    </row>
    <row r="39" spans="1:6" x14ac:dyDescent="0.35">
      <c r="A39" t="s">
        <v>69</v>
      </c>
      <c r="B39" t="s">
        <v>64</v>
      </c>
      <c r="C39" t="s">
        <v>58</v>
      </c>
      <c r="D39" s="1">
        <v>42353.291666666664</v>
      </c>
      <c r="E39">
        <v>7500</v>
      </c>
      <c r="F39">
        <v>9</v>
      </c>
    </row>
    <row r="40" spans="1:6" x14ac:dyDescent="0.35">
      <c r="A40" t="s">
        <v>70</v>
      </c>
      <c r="B40" t="s">
        <v>64</v>
      </c>
      <c r="C40" t="s">
        <v>58</v>
      </c>
      <c r="D40" s="1">
        <v>42677.291666666664</v>
      </c>
      <c r="E40">
        <v>7000</v>
      </c>
      <c r="F40">
        <v>9</v>
      </c>
    </row>
    <row r="41" spans="1:6" x14ac:dyDescent="0.35">
      <c r="A41" t="s">
        <v>71</v>
      </c>
      <c r="B41" t="s">
        <v>64</v>
      </c>
      <c r="C41" t="s">
        <v>58</v>
      </c>
      <c r="D41" s="1">
        <v>43104.291666666664</v>
      </c>
      <c r="E41">
        <v>6200</v>
      </c>
      <c r="F41">
        <v>7</v>
      </c>
    </row>
    <row r="42" spans="1:6" x14ac:dyDescent="0.35">
      <c r="A42" t="s">
        <v>72</v>
      </c>
      <c r="B42" t="s">
        <v>64</v>
      </c>
      <c r="C42" t="s">
        <v>58</v>
      </c>
      <c r="D42" s="1">
        <v>42813.291666666664</v>
      </c>
      <c r="E42">
        <v>9500</v>
      </c>
      <c r="F42">
        <v>8</v>
      </c>
    </row>
    <row r="43" spans="1:6" x14ac:dyDescent="0.35">
      <c r="A43" t="s">
        <v>73</v>
      </c>
      <c r="B43" t="s">
        <v>64</v>
      </c>
      <c r="C43" t="s">
        <v>58</v>
      </c>
      <c r="D43" s="1">
        <v>43124.291666666664</v>
      </c>
      <c r="E43">
        <v>7200</v>
      </c>
      <c r="F43">
        <v>7</v>
      </c>
    </row>
    <row r="44" spans="1:6" x14ac:dyDescent="0.35">
      <c r="A44" t="s">
        <v>74</v>
      </c>
      <c r="B44" t="s">
        <v>64</v>
      </c>
      <c r="C44" t="s">
        <v>58</v>
      </c>
      <c r="D44" s="1">
        <v>43154.291666666664</v>
      </c>
      <c r="E44">
        <v>6800</v>
      </c>
      <c r="F44">
        <v>7</v>
      </c>
    </row>
    <row r="45" spans="1:6" x14ac:dyDescent="0.35">
      <c r="A45" t="s">
        <v>75</v>
      </c>
      <c r="B45" t="s">
        <v>64</v>
      </c>
      <c r="C45" t="s">
        <v>58</v>
      </c>
      <c r="D45" s="1">
        <v>43183.291666666664</v>
      </c>
      <c r="E45">
        <v>6400</v>
      </c>
      <c r="F45">
        <v>7</v>
      </c>
    </row>
    <row r="46" spans="1:6" x14ac:dyDescent="0.35">
      <c r="A46" t="s">
        <v>76</v>
      </c>
      <c r="B46" t="s">
        <v>64</v>
      </c>
      <c r="C46" t="s">
        <v>58</v>
      </c>
      <c r="D46" s="1">
        <v>43211.291666666664</v>
      </c>
      <c r="E46">
        <v>6200</v>
      </c>
      <c r="F46">
        <v>7</v>
      </c>
    </row>
    <row r="47" spans="1:6" x14ac:dyDescent="0.35">
      <c r="A47" t="s">
        <v>77</v>
      </c>
      <c r="B47" t="s">
        <v>64</v>
      </c>
      <c r="C47" t="s">
        <v>58</v>
      </c>
      <c r="D47" s="1">
        <v>42074.291666666664</v>
      </c>
      <c r="E47">
        <v>11500</v>
      </c>
      <c r="F47">
        <v>10</v>
      </c>
    </row>
    <row r="48" spans="1:6" x14ac:dyDescent="0.35">
      <c r="A48" t="s">
        <v>78</v>
      </c>
      <c r="B48" t="s">
        <v>64</v>
      </c>
      <c r="C48" t="s">
        <v>58</v>
      </c>
      <c r="D48" s="1">
        <v>42452.291666666664</v>
      </c>
      <c r="E48">
        <v>10000</v>
      </c>
      <c r="F48">
        <v>9</v>
      </c>
    </row>
    <row r="49" spans="1:6" x14ac:dyDescent="0.35">
      <c r="A49" t="s">
        <v>79</v>
      </c>
      <c r="B49" t="s">
        <v>64</v>
      </c>
      <c r="C49" t="s">
        <v>58</v>
      </c>
      <c r="D49" s="1">
        <v>42393.291666666664</v>
      </c>
      <c r="E49">
        <v>9600</v>
      </c>
      <c r="F49">
        <v>9</v>
      </c>
    </row>
    <row r="50" spans="1:6" x14ac:dyDescent="0.35">
      <c r="A50" t="s">
        <v>80</v>
      </c>
      <c r="B50" t="s">
        <v>64</v>
      </c>
      <c r="C50" t="s">
        <v>58</v>
      </c>
      <c r="D50" s="1">
        <v>42789.291666666664</v>
      </c>
      <c r="E50">
        <v>7400</v>
      </c>
      <c r="F50">
        <v>8</v>
      </c>
    </row>
    <row r="51" spans="1:6" x14ac:dyDescent="0.35">
      <c r="A51" t="s">
        <v>81</v>
      </c>
      <c r="B51" t="s">
        <v>64</v>
      </c>
      <c r="C51" t="s">
        <v>58</v>
      </c>
      <c r="D51" s="1">
        <v>42818.291666666664</v>
      </c>
      <c r="E51">
        <v>7300</v>
      </c>
      <c r="F51">
        <v>8</v>
      </c>
    </row>
    <row r="52" spans="1:6" x14ac:dyDescent="0.35">
      <c r="A52" t="s">
        <v>82</v>
      </c>
      <c r="B52" t="s">
        <v>64</v>
      </c>
      <c r="C52" t="s">
        <v>58</v>
      </c>
      <c r="D52" s="1">
        <v>43211.291666666664</v>
      </c>
      <c r="E52">
        <v>6100</v>
      </c>
      <c r="F52">
        <v>7</v>
      </c>
    </row>
    <row r="53" spans="1:6" x14ac:dyDescent="0.35">
      <c r="A53" t="s">
        <v>83</v>
      </c>
      <c r="B53" t="s">
        <v>64</v>
      </c>
      <c r="C53" t="s">
        <v>58</v>
      </c>
      <c r="D53" s="1">
        <v>41770.291666666664</v>
      </c>
      <c r="E53">
        <v>11000</v>
      </c>
      <c r="F53">
        <v>11</v>
      </c>
    </row>
    <row r="54" spans="1:6" x14ac:dyDescent="0.35">
      <c r="A54" t="s">
        <v>84</v>
      </c>
      <c r="B54" t="s">
        <v>64</v>
      </c>
      <c r="C54" t="s">
        <v>58</v>
      </c>
      <c r="D54" s="1">
        <v>42082.291666666664</v>
      </c>
      <c r="E54">
        <v>8800</v>
      </c>
      <c r="F54">
        <v>10</v>
      </c>
    </row>
    <row r="55" spans="1:6" x14ac:dyDescent="0.35">
      <c r="A55" t="s">
        <v>85</v>
      </c>
      <c r="B55" t="s">
        <v>64</v>
      </c>
      <c r="C55" t="s">
        <v>58</v>
      </c>
      <c r="D55" s="1">
        <v>42453.291666666664</v>
      </c>
      <c r="E55">
        <v>8600</v>
      </c>
      <c r="F55">
        <v>9</v>
      </c>
    </row>
    <row r="56" spans="1:6" x14ac:dyDescent="0.35">
      <c r="A56" t="s">
        <v>86</v>
      </c>
      <c r="B56" t="s">
        <v>64</v>
      </c>
      <c r="C56" t="s">
        <v>58</v>
      </c>
      <c r="D56" s="1">
        <v>42483.291666666664</v>
      </c>
      <c r="E56">
        <v>8400</v>
      </c>
      <c r="F56">
        <v>9</v>
      </c>
    </row>
    <row r="57" spans="1:6" x14ac:dyDescent="0.35">
      <c r="A57" t="s">
        <v>87</v>
      </c>
      <c r="B57" t="s">
        <v>64</v>
      </c>
      <c r="C57" t="s">
        <v>58</v>
      </c>
      <c r="D57" s="1">
        <v>42713.291666666664</v>
      </c>
      <c r="E57">
        <v>7500</v>
      </c>
      <c r="F57">
        <v>8</v>
      </c>
    </row>
    <row r="58" spans="1:6" x14ac:dyDescent="0.35">
      <c r="A58" t="s">
        <v>88</v>
      </c>
      <c r="B58" t="s">
        <v>64</v>
      </c>
      <c r="C58" t="s">
        <v>58</v>
      </c>
      <c r="D58" s="1">
        <v>42459.291666666664</v>
      </c>
      <c r="E58">
        <v>8000</v>
      </c>
      <c r="F58">
        <v>9</v>
      </c>
    </row>
    <row r="59" spans="1:6" x14ac:dyDescent="0.35">
      <c r="A59" t="s">
        <v>89</v>
      </c>
      <c r="B59" t="s">
        <v>64</v>
      </c>
      <c r="C59" t="s">
        <v>58</v>
      </c>
      <c r="D59" s="1">
        <v>42236.291666666664</v>
      </c>
      <c r="E59">
        <v>9000</v>
      </c>
      <c r="F59">
        <v>10</v>
      </c>
    </row>
    <row r="60" spans="1:6" x14ac:dyDescent="0.35">
      <c r="A60" t="s">
        <v>90</v>
      </c>
      <c r="B60" t="s">
        <v>64</v>
      </c>
      <c r="C60" t="s">
        <v>58</v>
      </c>
      <c r="D60" s="1">
        <v>42087.291666666664</v>
      </c>
      <c r="E60">
        <v>9500</v>
      </c>
      <c r="F60">
        <v>10</v>
      </c>
    </row>
    <row r="61" spans="1:6" x14ac:dyDescent="0.35">
      <c r="A61" t="s">
        <v>91</v>
      </c>
      <c r="B61" t="s">
        <v>64</v>
      </c>
      <c r="C61" t="s">
        <v>58</v>
      </c>
      <c r="D61" s="1">
        <v>42034.291666666664</v>
      </c>
      <c r="E61">
        <v>10000</v>
      </c>
      <c r="F61">
        <v>10</v>
      </c>
    </row>
    <row r="62" spans="1:6" x14ac:dyDescent="0.35">
      <c r="A62" t="s">
        <v>92</v>
      </c>
      <c r="B62" t="s">
        <v>64</v>
      </c>
      <c r="C62" t="s">
        <v>58</v>
      </c>
      <c r="D62" s="1">
        <v>42319.291666666664</v>
      </c>
      <c r="E62">
        <v>10500</v>
      </c>
      <c r="F62">
        <v>10</v>
      </c>
    </row>
    <row r="63" spans="1:6" x14ac:dyDescent="0.35">
      <c r="A63" t="s">
        <v>93</v>
      </c>
      <c r="B63" t="s">
        <v>94</v>
      </c>
      <c r="C63" t="s">
        <v>95</v>
      </c>
      <c r="D63" s="1">
        <v>41666.291666666664</v>
      </c>
      <c r="E63">
        <v>4200</v>
      </c>
      <c r="F63">
        <v>11</v>
      </c>
    </row>
    <row r="64" spans="1:6" x14ac:dyDescent="0.35">
      <c r="A64" t="s">
        <v>96</v>
      </c>
      <c r="B64" t="s">
        <v>94</v>
      </c>
      <c r="C64" t="s">
        <v>95</v>
      </c>
      <c r="D64" s="1">
        <v>42055.291666666664</v>
      </c>
      <c r="E64">
        <v>4100</v>
      </c>
      <c r="F64">
        <v>10</v>
      </c>
    </row>
    <row r="65" spans="1:6" x14ac:dyDescent="0.35">
      <c r="A65" t="s">
        <v>97</v>
      </c>
      <c r="B65" t="s">
        <v>94</v>
      </c>
      <c r="C65" t="s">
        <v>95</v>
      </c>
      <c r="D65" s="1">
        <v>42545.291666666664</v>
      </c>
      <c r="E65">
        <v>3400</v>
      </c>
      <c r="F65">
        <v>9</v>
      </c>
    </row>
    <row r="66" spans="1:6" x14ac:dyDescent="0.35">
      <c r="A66" t="s">
        <v>98</v>
      </c>
      <c r="B66" t="s">
        <v>94</v>
      </c>
      <c r="C66" t="s">
        <v>95</v>
      </c>
      <c r="D66" s="1">
        <v>42773.291666666664</v>
      </c>
      <c r="E66">
        <v>3000</v>
      </c>
      <c r="F66">
        <v>8</v>
      </c>
    </row>
    <row r="67" spans="1:6" x14ac:dyDescent="0.35">
      <c r="A67" t="s">
        <v>99</v>
      </c>
      <c r="B67" t="s">
        <v>94</v>
      </c>
      <c r="C67" t="s">
        <v>95</v>
      </c>
      <c r="D67" s="1">
        <v>42169.291666666664</v>
      </c>
      <c r="E67">
        <v>3800</v>
      </c>
      <c r="F67">
        <v>10</v>
      </c>
    </row>
    <row r="68" spans="1:6" x14ac:dyDescent="0.35">
      <c r="A68" t="s">
        <v>100</v>
      </c>
      <c r="B68" t="s">
        <v>94</v>
      </c>
      <c r="C68" t="s">
        <v>95</v>
      </c>
      <c r="D68" s="1">
        <v>42229.291666666664</v>
      </c>
      <c r="E68">
        <v>3600</v>
      </c>
      <c r="F68">
        <v>10</v>
      </c>
    </row>
    <row r="69" spans="1:6" x14ac:dyDescent="0.35">
      <c r="A69" t="s">
        <v>101</v>
      </c>
      <c r="B69" t="s">
        <v>94</v>
      </c>
      <c r="C69" t="s">
        <v>95</v>
      </c>
      <c r="D69" s="1">
        <v>42562.291666666664</v>
      </c>
      <c r="E69">
        <v>2900</v>
      </c>
      <c r="F69">
        <v>9</v>
      </c>
    </row>
    <row r="70" spans="1:6" x14ac:dyDescent="0.35">
      <c r="A70" t="s">
        <v>102</v>
      </c>
      <c r="B70" t="s">
        <v>94</v>
      </c>
      <c r="C70" t="s">
        <v>95</v>
      </c>
      <c r="D70" s="1">
        <v>43088.291666666664</v>
      </c>
      <c r="E70">
        <v>2500</v>
      </c>
      <c r="F70">
        <v>7</v>
      </c>
    </row>
    <row r="71" spans="1:6" x14ac:dyDescent="0.35">
      <c r="A71" t="s">
        <v>103</v>
      </c>
      <c r="B71" t="s">
        <v>94</v>
      </c>
      <c r="C71" t="s">
        <v>95</v>
      </c>
      <c r="D71" s="1">
        <v>41674.291666666664</v>
      </c>
      <c r="E71">
        <v>4000</v>
      </c>
      <c r="F71">
        <v>11</v>
      </c>
    </row>
    <row r="72" spans="1:6" x14ac:dyDescent="0.35">
      <c r="A72" t="s">
        <v>104</v>
      </c>
      <c r="B72" t="s">
        <v>94</v>
      </c>
      <c r="C72" t="s">
        <v>95</v>
      </c>
      <c r="D72" s="1">
        <v>42066.291666666664</v>
      </c>
      <c r="E72">
        <v>3900</v>
      </c>
      <c r="F72">
        <v>10</v>
      </c>
    </row>
    <row r="73" spans="1:6" x14ac:dyDescent="0.35">
      <c r="A73" t="s">
        <v>105</v>
      </c>
      <c r="B73" t="s">
        <v>94</v>
      </c>
      <c r="C73" t="s">
        <v>95</v>
      </c>
      <c r="D73" s="1">
        <v>42552.291666666664</v>
      </c>
      <c r="E73">
        <v>3200</v>
      </c>
      <c r="F73">
        <v>9</v>
      </c>
    </row>
    <row r="74" spans="1:6" x14ac:dyDescent="0.35">
      <c r="A74" t="s">
        <v>106</v>
      </c>
      <c r="B74" t="s">
        <v>94</v>
      </c>
      <c r="C74" t="s">
        <v>95</v>
      </c>
      <c r="D74" s="1">
        <v>42811.291666666664</v>
      </c>
      <c r="E74">
        <v>2800</v>
      </c>
      <c r="F74">
        <v>8</v>
      </c>
    </row>
    <row r="75" spans="1:6" x14ac:dyDescent="0.35">
      <c r="A75" t="s">
        <v>107</v>
      </c>
      <c r="B75" t="s">
        <v>94</v>
      </c>
      <c r="C75" t="s">
        <v>95</v>
      </c>
      <c r="D75" s="1">
        <v>42484.291666666664</v>
      </c>
      <c r="E75">
        <v>3100</v>
      </c>
      <c r="F75">
        <v>9</v>
      </c>
    </row>
    <row r="76" spans="1:6" x14ac:dyDescent="0.35">
      <c r="A76" t="s">
        <v>108</v>
      </c>
      <c r="B76" t="s">
        <v>94</v>
      </c>
      <c r="C76" t="s">
        <v>95</v>
      </c>
      <c r="D76" s="1">
        <v>42513.291666666664</v>
      </c>
      <c r="E76">
        <v>3000</v>
      </c>
      <c r="F76">
        <v>9</v>
      </c>
    </row>
    <row r="77" spans="1:6" x14ac:dyDescent="0.35">
      <c r="A77" t="s">
        <v>109</v>
      </c>
      <c r="B77" t="s">
        <v>94</v>
      </c>
      <c r="C77" t="s">
        <v>95</v>
      </c>
      <c r="D77" s="1">
        <v>42907.291666666664</v>
      </c>
      <c r="E77">
        <v>2600</v>
      </c>
      <c r="F77">
        <v>8</v>
      </c>
    </row>
    <row r="78" spans="1:6" x14ac:dyDescent="0.35">
      <c r="A78" t="s">
        <v>110</v>
      </c>
      <c r="B78" t="s">
        <v>94</v>
      </c>
      <c r="C78" t="s">
        <v>95</v>
      </c>
      <c r="D78" s="1">
        <v>43113.291666666664</v>
      </c>
      <c r="E78">
        <v>2600</v>
      </c>
      <c r="F78">
        <v>7</v>
      </c>
    </row>
    <row r="79" spans="1:6" x14ac:dyDescent="0.35">
      <c r="A79" t="s">
        <v>111</v>
      </c>
      <c r="B79" t="s">
        <v>94</v>
      </c>
      <c r="C79" t="s">
        <v>95</v>
      </c>
      <c r="D79" s="1">
        <v>42393.291666666664</v>
      </c>
      <c r="E79">
        <v>3200</v>
      </c>
      <c r="F79">
        <v>9</v>
      </c>
    </row>
    <row r="80" spans="1:6" x14ac:dyDescent="0.35">
      <c r="A80" t="s">
        <v>112</v>
      </c>
      <c r="B80" t="s">
        <v>94</v>
      </c>
      <c r="C80" t="s">
        <v>95</v>
      </c>
      <c r="D80" s="1">
        <v>42423.291666666664</v>
      </c>
      <c r="E80">
        <v>3100</v>
      </c>
      <c r="F80">
        <v>9</v>
      </c>
    </row>
    <row r="81" spans="1:6" x14ac:dyDescent="0.35">
      <c r="A81" t="s">
        <v>113</v>
      </c>
      <c r="B81" t="s">
        <v>94</v>
      </c>
      <c r="C81" t="s">
        <v>95</v>
      </c>
      <c r="D81" s="1">
        <v>42907.291666666664</v>
      </c>
      <c r="E81">
        <v>2500</v>
      </c>
      <c r="F81">
        <v>8</v>
      </c>
    </row>
    <row r="82" spans="1:6" x14ac:dyDescent="0.35">
      <c r="A82" t="s">
        <v>114</v>
      </c>
      <c r="B82" t="s">
        <v>94</v>
      </c>
      <c r="C82" t="s">
        <v>95</v>
      </c>
      <c r="D82" s="1">
        <v>43134.291666666664</v>
      </c>
      <c r="E82">
        <v>2800</v>
      </c>
      <c r="F82">
        <v>7</v>
      </c>
    </row>
    <row r="83" spans="1:6" x14ac:dyDescent="0.35">
      <c r="A83" t="s">
        <v>115</v>
      </c>
      <c r="B83" t="s">
        <v>116</v>
      </c>
      <c r="C83" t="s">
        <v>95</v>
      </c>
      <c r="D83" s="1">
        <v>42835.291666666664</v>
      </c>
      <c r="E83">
        <v>2100</v>
      </c>
      <c r="F83">
        <v>8</v>
      </c>
    </row>
    <row r="84" spans="1:6" x14ac:dyDescent="0.35">
      <c r="A84" t="s">
        <v>117</v>
      </c>
      <c r="B84" t="s">
        <v>116</v>
      </c>
      <c r="C84" t="s">
        <v>95</v>
      </c>
      <c r="D84" s="1">
        <v>42444.291666666664</v>
      </c>
      <c r="E84">
        <v>2600</v>
      </c>
      <c r="F84">
        <v>9</v>
      </c>
    </row>
    <row r="85" spans="1:6" x14ac:dyDescent="0.35">
      <c r="A85" t="s">
        <v>118</v>
      </c>
      <c r="B85" t="s">
        <v>116</v>
      </c>
      <c r="C85" t="s">
        <v>95</v>
      </c>
      <c r="D85" s="1">
        <v>42033.291666666664</v>
      </c>
      <c r="E85">
        <v>3100</v>
      </c>
      <c r="F85">
        <v>10</v>
      </c>
    </row>
    <row r="86" spans="1:6" x14ac:dyDescent="0.35">
      <c r="A86" t="s">
        <v>119</v>
      </c>
      <c r="B86" t="s">
        <v>116</v>
      </c>
      <c r="C86" t="s">
        <v>95</v>
      </c>
      <c r="D86" s="1">
        <v>41564.291666666664</v>
      </c>
      <c r="E86">
        <v>3500</v>
      </c>
      <c r="F86">
        <v>12</v>
      </c>
    </row>
    <row r="87" spans="1:6" x14ac:dyDescent="0.35">
      <c r="A87" t="s">
        <v>120</v>
      </c>
      <c r="B87" t="s">
        <v>116</v>
      </c>
      <c r="C87" t="s">
        <v>95</v>
      </c>
      <c r="D87" s="1">
        <v>42466.291666666664</v>
      </c>
      <c r="E87">
        <v>2500</v>
      </c>
      <c r="F87">
        <v>9</v>
      </c>
    </row>
    <row r="88" spans="1:6" x14ac:dyDescent="0.35">
      <c r="A88" t="s">
        <v>121</v>
      </c>
      <c r="B88" t="s">
        <v>116</v>
      </c>
      <c r="C88" t="s">
        <v>95</v>
      </c>
      <c r="D88" s="1">
        <v>42201.291666666664</v>
      </c>
      <c r="E88">
        <v>3200</v>
      </c>
      <c r="F88">
        <v>10</v>
      </c>
    </row>
    <row r="89" spans="1:6" x14ac:dyDescent="0.35">
      <c r="A89" t="s">
        <v>122</v>
      </c>
      <c r="B89" t="s">
        <v>116</v>
      </c>
      <c r="C89" t="s">
        <v>95</v>
      </c>
      <c r="D89" s="1">
        <v>42641.291666666664</v>
      </c>
      <c r="E89">
        <v>2700</v>
      </c>
      <c r="F89">
        <v>9</v>
      </c>
    </row>
    <row r="90" spans="1:6" x14ac:dyDescent="0.35">
      <c r="A90" t="s">
        <v>123</v>
      </c>
      <c r="B90" t="s">
        <v>116</v>
      </c>
      <c r="C90" t="s">
        <v>95</v>
      </c>
      <c r="D90" s="1">
        <v>42749.291666666664</v>
      </c>
      <c r="E90">
        <v>2400</v>
      </c>
      <c r="F90">
        <v>8</v>
      </c>
    </row>
    <row r="91" spans="1:6" x14ac:dyDescent="0.35">
      <c r="A91" t="s">
        <v>124</v>
      </c>
      <c r="B91" t="s">
        <v>116</v>
      </c>
      <c r="C91" t="s">
        <v>95</v>
      </c>
      <c r="D91" s="1">
        <v>43167.291666666664</v>
      </c>
      <c r="E91">
        <v>2200</v>
      </c>
      <c r="F91">
        <v>7</v>
      </c>
    </row>
    <row r="92" spans="1:6" x14ac:dyDescent="0.35">
      <c r="A92" t="s">
        <v>125</v>
      </c>
      <c r="B92" t="s">
        <v>116</v>
      </c>
      <c r="C92" t="s">
        <v>95</v>
      </c>
      <c r="D92" s="1">
        <v>42236.291666666664</v>
      </c>
      <c r="E92">
        <v>3300</v>
      </c>
      <c r="F92">
        <v>10</v>
      </c>
    </row>
    <row r="93" spans="1:6" x14ac:dyDescent="0.35">
      <c r="A93" t="s">
        <v>126</v>
      </c>
      <c r="B93" t="s">
        <v>116</v>
      </c>
      <c r="C93" t="s">
        <v>95</v>
      </c>
      <c r="D93" s="1">
        <v>42307.291666666664</v>
      </c>
      <c r="E93">
        <v>2800</v>
      </c>
      <c r="F93">
        <v>10</v>
      </c>
    </row>
    <row r="94" spans="1:6" x14ac:dyDescent="0.35">
      <c r="A94" t="s">
        <v>127</v>
      </c>
      <c r="B94" t="s">
        <v>116</v>
      </c>
      <c r="C94" t="s">
        <v>95</v>
      </c>
      <c r="D94" s="1">
        <v>42051.291666666664</v>
      </c>
      <c r="E94">
        <v>2500</v>
      </c>
      <c r="F94">
        <v>10</v>
      </c>
    </row>
    <row r="95" spans="1:6" x14ac:dyDescent="0.35">
      <c r="A95" t="s">
        <v>128</v>
      </c>
      <c r="B95" t="s">
        <v>116</v>
      </c>
      <c r="C95" t="s">
        <v>95</v>
      </c>
      <c r="D95" s="1">
        <v>42560.291666666664</v>
      </c>
      <c r="E95">
        <v>2500</v>
      </c>
      <c r="F95">
        <v>9</v>
      </c>
    </row>
    <row r="96" spans="1:6" x14ac:dyDescent="0.35">
      <c r="A96" t="s">
        <v>129</v>
      </c>
      <c r="B96" t="s">
        <v>116</v>
      </c>
      <c r="C96" t="s">
        <v>95</v>
      </c>
      <c r="D96" s="1">
        <v>41804.291666666664</v>
      </c>
      <c r="E96">
        <v>3300</v>
      </c>
      <c r="F96">
        <v>11</v>
      </c>
    </row>
    <row r="97" spans="1:6" x14ac:dyDescent="0.35">
      <c r="A97" t="s">
        <v>130</v>
      </c>
      <c r="B97" t="s">
        <v>116</v>
      </c>
      <c r="C97" t="s">
        <v>95</v>
      </c>
      <c r="D97" s="1">
        <v>42608.291666666664</v>
      </c>
      <c r="E97">
        <v>2900</v>
      </c>
      <c r="F97">
        <v>9</v>
      </c>
    </row>
    <row r="98" spans="1:6" x14ac:dyDescent="0.35">
      <c r="A98" t="s">
        <v>131</v>
      </c>
      <c r="B98" t="s">
        <v>116</v>
      </c>
      <c r="C98" t="s">
        <v>95</v>
      </c>
      <c r="D98" s="1">
        <v>43081.291666666664</v>
      </c>
      <c r="E98">
        <v>2400</v>
      </c>
      <c r="F98">
        <v>7</v>
      </c>
    </row>
    <row r="99" spans="1:6" x14ac:dyDescent="0.35">
      <c r="A99" t="s">
        <v>132</v>
      </c>
      <c r="B99" t="s">
        <v>116</v>
      </c>
      <c r="C99" t="s">
        <v>95</v>
      </c>
      <c r="D99" s="1">
        <v>43137.291666666664</v>
      </c>
      <c r="E99">
        <v>2200</v>
      </c>
      <c r="F99">
        <v>7</v>
      </c>
    </row>
    <row r="100" spans="1:6" x14ac:dyDescent="0.35">
      <c r="A100" t="s">
        <v>133</v>
      </c>
      <c r="B100" t="s">
        <v>116</v>
      </c>
      <c r="C100" t="s">
        <v>95</v>
      </c>
      <c r="D100" s="1">
        <v>41469.291666666664</v>
      </c>
      <c r="E100">
        <v>3600</v>
      </c>
      <c r="F100">
        <v>12</v>
      </c>
    </row>
    <row r="101" spans="1:6" x14ac:dyDescent="0.35">
      <c r="A101" t="s">
        <v>134</v>
      </c>
      <c r="B101" t="s">
        <v>116</v>
      </c>
      <c r="C101" t="s">
        <v>95</v>
      </c>
      <c r="D101" s="1">
        <v>42303.291666666664</v>
      </c>
      <c r="E101">
        <v>3200</v>
      </c>
      <c r="F101">
        <v>10</v>
      </c>
    </row>
    <row r="102" spans="1:6" x14ac:dyDescent="0.35">
      <c r="A102" t="s">
        <v>135</v>
      </c>
      <c r="B102" t="s">
        <v>116</v>
      </c>
      <c r="C102" t="s">
        <v>95</v>
      </c>
      <c r="D102" s="1">
        <v>42412.291666666664</v>
      </c>
      <c r="E102">
        <v>2700</v>
      </c>
      <c r="F102">
        <v>9</v>
      </c>
    </row>
    <row r="103" spans="1:6" x14ac:dyDescent="0.35">
      <c r="A103" t="s">
        <v>136</v>
      </c>
      <c r="B103" t="s">
        <v>137</v>
      </c>
      <c r="C103" t="s">
        <v>95</v>
      </c>
      <c r="D103" s="1">
        <v>43055.291666666664</v>
      </c>
      <c r="E103">
        <v>5800</v>
      </c>
      <c r="F103">
        <v>7</v>
      </c>
    </row>
    <row r="104" spans="1:6" x14ac:dyDescent="0.35">
      <c r="A104" t="s">
        <v>138</v>
      </c>
      <c r="B104" t="s">
        <v>137</v>
      </c>
      <c r="C104" t="s">
        <v>95</v>
      </c>
      <c r="D104" s="1">
        <v>42287.291666666664</v>
      </c>
      <c r="E104">
        <v>6500</v>
      </c>
      <c r="F104">
        <v>10</v>
      </c>
    </row>
    <row r="105" spans="1:6" x14ac:dyDescent="0.35">
      <c r="A105" t="s">
        <v>139</v>
      </c>
      <c r="B105" t="s">
        <v>137</v>
      </c>
      <c r="C105" t="s">
        <v>95</v>
      </c>
      <c r="D105" s="1">
        <v>41395.291666666664</v>
      </c>
      <c r="E105">
        <v>7900</v>
      </c>
      <c r="F105">
        <v>12</v>
      </c>
    </row>
    <row r="106" spans="1:6" x14ac:dyDescent="0.35">
      <c r="A106" t="s">
        <v>140</v>
      </c>
      <c r="B106" t="s">
        <v>137</v>
      </c>
      <c r="C106" t="s">
        <v>95</v>
      </c>
      <c r="D106" s="1">
        <v>42104.291666666664</v>
      </c>
      <c r="E106">
        <v>8200</v>
      </c>
      <c r="F106">
        <v>10</v>
      </c>
    </row>
    <row r="107" spans="1:6" x14ac:dyDescent="0.35">
      <c r="A107" t="s">
        <v>141</v>
      </c>
      <c r="B107" t="s">
        <v>137</v>
      </c>
      <c r="C107" t="s">
        <v>95</v>
      </c>
      <c r="D107" s="1">
        <v>41838.291666666664</v>
      </c>
      <c r="E107">
        <v>8000</v>
      </c>
      <c r="F107">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F9DEC-BD32-4339-AF97-A3B8FD651DAF}">
  <dimension ref="B2:X110"/>
  <sheetViews>
    <sheetView workbookViewId="0">
      <selection activeCell="J19" sqref="J19"/>
    </sheetView>
  </sheetViews>
  <sheetFormatPr defaultRowHeight="14.5" x14ac:dyDescent="0.35"/>
  <cols>
    <col min="2" max="2" width="29.08984375" bestFit="1" customWidth="1"/>
    <col min="3" max="3" width="13.08984375" bestFit="1" customWidth="1"/>
    <col min="4" max="4" width="13.81640625" customWidth="1"/>
    <col min="7" max="7" width="18.81640625" bestFit="1" customWidth="1"/>
    <col min="8" max="8" width="13.54296875" bestFit="1" customWidth="1"/>
    <col min="9" max="9" width="14.26953125" bestFit="1" customWidth="1"/>
    <col min="12" max="12" width="17.54296875" bestFit="1" customWidth="1"/>
    <col min="13" max="13" width="10.90625" bestFit="1" customWidth="1"/>
    <col min="14" max="14" width="13.90625" bestFit="1" customWidth="1"/>
    <col min="15" max="15" width="13.453125" customWidth="1"/>
    <col min="16" max="16" width="7.1796875" bestFit="1" customWidth="1"/>
    <col min="17" max="17" width="15.90625" bestFit="1" customWidth="1"/>
    <col min="18" max="18" width="8.90625" customWidth="1"/>
    <col min="19" max="19" width="9.453125" bestFit="1" customWidth="1"/>
    <col min="20" max="20" width="12.36328125" bestFit="1" customWidth="1"/>
    <col min="21" max="21" width="13.36328125" bestFit="1" customWidth="1"/>
    <col min="22" max="22" width="20.36328125" bestFit="1" customWidth="1"/>
    <col min="23" max="23" width="13" bestFit="1" customWidth="1"/>
    <col min="24" max="24" width="13.36328125" bestFit="1" customWidth="1"/>
    <col min="25" max="25" width="13.453125" bestFit="1" customWidth="1"/>
    <col min="27" max="27" width="7.1796875" bestFit="1" customWidth="1"/>
    <col min="28" max="28" width="15.90625" bestFit="1" customWidth="1"/>
    <col min="29" max="29" width="2.81640625" bestFit="1" customWidth="1"/>
    <col min="30" max="30" width="9.453125" bestFit="1" customWidth="1"/>
    <col min="31" max="31" width="14.08984375" bestFit="1" customWidth="1"/>
    <col min="32" max="32" width="9.90625" bestFit="1" customWidth="1"/>
    <col min="33" max="33" width="5" bestFit="1" customWidth="1"/>
    <col min="34" max="34" width="7.90625" bestFit="1" customWidth="1"/>
    <col min="35" max="35" width="18.1796875" bestFit="1" customWidth="1"/>
    <col min="36" max="36" width="28.453125" bestFit="1" customWidth="1"/>
  </cols>
  <sheetData>
    <row r="2" spans="2:24" x14ac:dyDescent="0.35">
      <c r="B2" t="s">
        <v>151</v>
      </c>
      <c r="G2" t="s">
        <v>154</v>
      </c>
      <c r="L2" t="s">
        <v>155</v>
      </c>
    </row>
    <row r="3" spans="2:24" x14ac:dyDescent="0.35">
      <c r="B3" s="2" t="s">
        <v>146</v>
      </c>
      <c r="C3" t="s">
        <v>145</v>
      </c>
      <c r="D3" t="s">
        <v>144</v>
      </c>
      <c r="G3" s="2" t="s">
        <v>147</v>
      </c>
      <c r="H3" t="s">
        <v>152</v>
      </c>
      <c r="I3" t="s">
        <v>153</v>
      </c>
      <c r="L3" s="2" t="s">
        <v>142</v>
      </c>
      <c r="M3" t="s">
        <v>148</v>
      </c>
      <c r="N3" t="s">
        <v>149</v>
      </c>
      <c r="Q3" t="s">
        <v>149</v>
      </c>
      <c r="R3" t="s">
        <v>150</v>
      </c>
      <c r="T3" t="s">
        <v>157</v>
      </c>
      <c r="U3" t="s">
        <v>158</v>
      </c>
      <c r="V3" t="s">
        <v>159</v>
      </c>
      <c r="W3" t="s">
        <v>160</v>
      </c>
      <c r="X3" t="s">
        <v>161</v>
      </c>
    </row>
    <row r="4" spans="2:24" x14ac:dyDescent="0.35">
      <c r="B4" s="3" t="s">
        <v>15</v>
      </c>
      <c r="C4" s="4">
        <v>24000</v>
      </c>
      <c r="D4">
        <v>1</v>
      </c>
      <c r="G4" s="3" t="s">
        <v>16</v>
      </c>
      <c r="H4" s="4">
        <v>19333.333333333332</v>
      </c>
      <c r="I4">
        <v>3</v>
      </c>
      <c r="L4" s="3" t="s">
        <v>14</v>
      </c>
      <c r="M4" s="4">
        <v>24000</v>
      </c>
      <c r="N4">
        <v>12</v>
      </c>
      <c r="O4" s="8"/>
      <c r="Q4" s="3">
        <v>10</v>
      </c>
      <c r="R4">
        <v>8200</v>
      </c>
      <c r="T4" s="4">
        <v>684416</v>
      </c>
      <c r="U4">
        <v>106</v>
      </c>
      <c r="V4" s="6">
        <v>9.4716981132075464</v>
      </c>
      <c r="W4">
        <v>2100</v>
      </c>
      <c r="X4">
        <v>24000</v>
      </c>
    </row>
    <row r="5" spans="2:24" x14ac:dyDescent="0.35">
      <c r="B5" s="3" t="s">
        <v>18</v>
      </c>
      <c r="C5" s="4">
        <v>17000</v>
      </c>
      <c r="D5">
        <v>2</v>
      </c>
      <c r="G5" s="3" t="s">
        <v>8</v>
      </c>
      <c r="H5" s="4">
        <v>10154</v>
      </c>
      <c r="I5">
        <v>2</v>
      </c>
      <c r="L5" s="3" t="s">
        <v>17</v>
      </c>
      <c r="M5" s="4">
        <v>17000</v>
      </c>
      <c r="N5">
        <v>14</v>
      </c>
      <c r="O5" s="8"/>
      <c r="Q5" s="3">
        <v>9</v>
      </c>
      <c r="R5">
        <v>3100</v>
      </c>
    </row>
    <row r="6" spans="2:24" x14ac:dyDescent="0.35">
      <c r="B6" s="3" t="s">
        <v>40</v>
      </c>
      <c r="C6" s="4">
        <v>13000</v>
      </c>
      <c r="D6">
        <v>1</v>
      </c>
      <c r="G6" s="3" t="s">
        <v>46</v>
      </c>
      <c r="H6" s="4">
        <v>10000</v>
      </c>
      <c r="I6">
        <v>1</v>
      </c>
      <c r="L6" s="3" t="s">
        <v>19</v>
      </c>
      <c r="M6" s="4">
        <v>17000</v>
      </c>
      <c r="N6">
        <v>10</v>
      </c>
      <c r="O6" s="8"/>
      <c r="Q6" s="3">
        <v>10</v>
      </c>
      <c r="R6">
        <v>12000</v>
      </c>
    </row>
    <row r="7" spans="2:24" x14ac:dyDescent="0.35">
      <c r="B7" s="3" t="s">
        <v>57</v>
      </c>
      <c r="C7" s="4">
        <v>12200</v>
      </c>
      <c r="D7">
        <v>5</v>
      </c>
      <c r="G7" s="3" t="s">
        <v>41</v>
      </c>
      <c r="H7" s="4">
        <v>9500</v>
      </c>
      <c r="I7">
        <v>2</v>
      </c>
      <c r="L7" s="3" t="s">
        <v>61</v>
      </c>
      <c r="M7" s="4">
        <v>14000</v>
      </c>
      <c r="N7">
        <v>11</v>
      </c>
      <c r="O7" s="8"/>
      <c r="Q7" s="3">
        <v>9</v>
      </c>
      <c r="R7">
        <v>9000</v>
      </c>
      <c r="T7" t="s">
        <v>162</v>
      </c>
    </row>
    <row r="8" spans="2:24" x14ac:dyDescent="0.35">
      <c r="B8" s="3" t="s">
        <v>10</v>
      </c>
      <c r="C8" s="4">
        <v>12008</v>
      </c>
      <c r="D8">
        <v>1</v>
      </c>
      <c r="G8" s="3" t="s">
        <v>58</v>
      </c>
      <c r="H8" s="4">
        <v>8955.8823529411766</v>
      </c>
      <c r="I8">
        <v>34</v>
      </c>
      <c r="L8" s="3" t="s">
        <v>60</v>
      </c>
      <c r="M8" s="4">
        <v>13500</v>
      </c>
      <c r="N8">
        <v>10</v>
      </c>
      <c r="O8" s="8"/>
      <c r="Q8" s="3">
        <v>12</v>
      </c>
      <c r="R8">
        <v>3100</v>
      </c>
      <c r="T8" s="2" t="s">
        <v>142</v>
      </c>
      <c r="U8" t="s">
        <v>156</v>
      </c>
    </row>
    <row r="9" spans="2:24" x14ac:dyDescent="0.35">
      <c r="B9" s="3" t="s">
        <v>28</v>
      </c>
      <c r="C9" s="4">
        <v>12008</v>
      </c>
      <c r="D9">
        <v>1</v>
      </c>
      <c r="G9" s="3" t="s">
        <v>22</v>
      </c>
      <c r="H9" s="4">
        <v>8601.3333333333339</v>
      </c>
      <c r="I9">
        <v>6</v>
      </c>
      <c r="L9" s="3" t="s">
        <v>39</v>
      </c>
      <c r="M9" s="4">
        <v>13000</v>
      </c>
      <c r="N9">
        <v>11</v>
      </c>
      <c r="O9" s="8"/>
      <c r="Q9" s="3">
        <v>10</v>
      </c>
      <c r="R9">
        <v>4100</v>
      </c>
      <c r="T9" s="3" t="s">
        <v>14</v>
      </c>
      <c r="U9">
        <v>24000</v>
      </c>
    </row>
    <row r="10" spans="2:24" x14ac:dyDescent="0.35">
      <c r="B10" s="3" t="s">
        <v>55</v>
      </c>
      <c r="C10" s="4">
        <v>11000</v>
      </c>
      <c r="D10">
        <v>1</v>
      </c>
      <c r="G10" s="3" t="s">
        <v>31</v>
      </c>
      <c r="H10" s="4">
        <v>6500</v>
      </c>
      <c r="I10">
        <v>1</v>
      </c>
      <c r="L10" s="3" t="s">
        <v>27</v>
      </c>
      <c r="M10" s="4">
        <v>12008</v>
      </c>
      <c r="N10">
        <v>13</v>
      </c>
      <c r="O10" s="8"/>
      <c r="Q10" s="3">
        <v>11</v>
      </c>
      <c r="R10">
        <v>9000</v>
      </c>
      <c r="T10" s="3" t="s">
        <v>17</v>
      </c>
      <c r="U10">
        <v>17000</v>
      </c>
    </row>
    <row r="11" spans="2:24" x14ac:dyDescent="0.35">
      <c r="B11" s="3" t="s">
        <v>45</v>
      </c>
      <c r="C11" s="4">
        <v>10000</v>
      </c>
      <c r="D11">
        <v>1</v>
      </c>
      <c r="G11" s="3" t="s">
        <v>34</v>
      </c>
      <c r="H11" s="4">
        <v>5760</v>
      </c>
      <c r="I11">
        <v>5</v>
      </c>
      <c r="L11" s="3" t="s">
        <v>9</v>
      </c>
      <c r="M11" s="4">
        <v>12008</v>
      </c>
      <c r="N11">
        <v>13</v>
      </c>
      <c r="O11" s="8"/>
      <c r="Q11" s="3">
        <v>10</v>
      </c>
      <c r="R11">
        <v>8800</v>
      </c>
      <c r="T11" s="3" t="s">
        <v>19</v>
      </c>
      <c r="U11">
        <v>17000</v>
      </c>
    </row>
    <row r="12" spans="2:24" x14ac:dyDescent="0.35">
      <c r="B12" s="3" t="s">
        <v>64</v>
      </c>
      <c r="C12" s="4">
        <v>8396.5517241379312</v>
      </c>
      <c r="D12">
        <v>29</v>
      </c>
      <c r="G12" s="3" t="s">
        <v>13</v>
      </c>
      <c r="H12" s="4">
        <v>4400</v>
      </c>
      <c r="I12">
        <v>1</v>
      </c>
      <c r="L12" s="3" t="s">
        <v>59</v>
      </c>
      <c r="M12" s="4">
        <v>12000</v>
      </c>
      <c r="N12">
        <v>10</v>
      </c>
      <c r="O12" s="8"/>
      <c r="Q12" s="3">
        <v>7</v>
      </c>
      <c r="R12">
        <v>6200</v>
      </c>
      <c r="T12" s="3" t="s">
        <v>143</v>
      </c>
      <c r="U12">
        <v>58000</v>
      </c>
    </row>
    <row r="13" spans="2:24" x14ac:dyDescent="0.35">
      <c r="B13" s="3" t="s">
        <v>7</v>
      </c>
      <c r="C13" s="4">
        <v>8300</v>
      </c>
      <c r="D13">
        <v>1</v>
      </c>
      <c r="G13" s="3" t="s">
        <v>49</v>
      </c>
      <c r="H13" s="4">
        <v>4150</v>
      </c>
      <c r="I13">
        <v>6</v>
      </c>
      <c r="L13" s="3" t="s">
        <v>77</v>
      </c>
      <c r="M13" s="4">
        <v>11500</v>
      </c>
      <c r="N13">
        <v>10</v>
      </c>
      <c r="O13" s="8"/>
      <c r="Q13" s="3">
        <v>8</v>
      </c>
      <c r="R13">
        <v>3000</v>
      </c>
    </row>
    <row r="14" spans="2:24" x14ac:dyDescent="0.35">
      <c r="B14" s="3" t="s">
        <v>21</v>
      </c>
      <c r="C14" s="4">
        <v>7920</v>
      </c>
      <c r="D14">
        <v>5</v>
      </c>
      <c r="G14" s="3" t="s">
        <v>95</v>
      </c>
      <c r="H14" s="4">
        <v>3475.5555555555557</v>
      </c>
      <c r="I14">
        <v>45</v>
      </c>
      <c r="L14" s="3" t="s">
        <v>54</v>
      </c>
      <c r="M14" s="4">
        <v>11000</v>
      </c>
      <c r="N14">
        <v>12</v>
      </c>
      <c r="O14" s="8"/>
      <c r="Q14" s="3">
        <v>10</v>
      </c>
      <c r="R14">
        <v>3900</v>
      </c>
    </row>
    <row r="15" spans="2:24" x14ac:dyDescent="0.35">
      <c r="B15" s="3" t="s">
        <v>137</v>
      </c>
      <c r="C15" s="4">
        <v>7280</v>
      </c>
      <c r="D15">
        <v>5</v>
      </c>
      <c r="G15" s="3" t="s">
        <v>143</v>
      </c>
      <c r="H15" s="4">
        <v>6456.7547169811323</v>
      </c>
      <c r="I15">
        <v>106</v>
      </c>
      <c r="L15" s="3" t="s">
        <v>56</v>
      </c>
      <c r="M15" s="4">
        <v>11000</v>
      </c>
      <c r="N15">
        <v>8</v>
      </c>
      <c r="O15" s="8"/>
      <c r="Q15" s="3">
        <v>8</v>
      </c>
      <c r="R15">
        <v>6000</v>
      </c>
    </row>
    <row r="16" spans="2:24" x14ac:dyDescent="0.35">
      <c r="B16" s="3" t="s">
        <v>30</v>
      </c>
      <c r="C16" s="4">
        <v>6500</v>
      </c>
      <c r="D16">
        <v>1</v>
      </c>
      <c r="L16" s="3" t="s">
        <v>83</v>
      </c>
      <c r="M16" s="4">
        <v>11000</v>
      </c>
      <c r="N16">
        <v>11</v>
      </c>
      <c r="O16" s="8"/>
      <c r="Q16" s="3">
        <v>7</v>
      </c>
      <c r="R16">
        <v>6200</v>
      </c>
    </row>
    <row r="17" spans="2:18" x14ac:dyDescent="0.35">
      <c r="B17" s="3" t="s">
        <v>43</v>
      </c>
      <c r="C17" s="4">
        <v>6000</v>
      </c>
      <c r="D17">
        <v>1</v>
      </c>
      <c r="G17" t="str">
        <f>G4</f>
        <v>Executive</v>
      </c>
      <c r="H17" s="7">
        <f>H4</f>
        <v>19333.333333333332</v>
      </c>
      <c r="L17" s="3" t="s">
        <v>62</v>
      </c>
      <c r="M17" s="4">
        <v>10500</v>
      </c>
      <c r="N17">
        <v>7</v>
      </c>
      <c r="O17" s="8"/>
      <c r="Q17" s="3">
        <v>9</v>
      </c>
      <c r="R17">
        <v>8000</v>
      </c>
    </row>
    <row r="18" spans="2:18" x14ac:dyDescent="0.35">
      <c r="B18" s="3" t="s">
        <v>33</v>
      </c>
      <c r="C18" s="4">
        <v>5760</v>
      </c>
      <c r="D18">
        <v>5</v>
      </c>
      <c r="G18" t="str">
        <f t="shared" ref="G18:H26" si="0">G5</f>
        <v>Accounting</v>
      </c>
      <c r="H18" s="7">
        <f t="shared" si="0"/>
        <v>10154</v>
      </c>
      <c r="L18" s="3" t="s">
        <v>92</v>
      </c>
      <c r="M18" s="4">
        <v>10500</v>
      </c>
      <c r="N18">
        <v>10</v>
      </c>
      <c r="O18" s="8"/>
      <c r="Q18" s="3">
        <v>10</v>
      </c>
      <c r="R18">
        <v>10500</v>
      </c>
    </row>
    <row r="19" spans="2:18" x14ac:dyDescent="0.35">
      <c r="B19" s="3" t="s">
        <v>12</v>
      </c>
      <c r="C19" s="4">
        <v>4400</v>
      </c>
      <c r="D19">
        <v>1</v>
      </c>
      <c r="G19" t="str">
        <f t="shared" si="0"/>
        <v>Public Relations</v>
      </c>
      <c r="H19" s="7">
        <f t="shared" si="0"/>
        <v>10000</v>
      </c>
      <c r="L19" s="3" t="s">
        <v>91</v>
      </c>
      <c r="M19" s="4">
        <v>10000</v>
      </c>
      <c r="N19">
        <v>10</v>
      </c>
      <c r="O19" s="8"/>
      <c r="Q19" s="3">
        <v>10</v>
      </c>
      <c r="R19">
        <v>3100</v>
      </c>
    </row>
    <row r="20" spans="2:18" x14ac:dyDescent="0.35">
      <c r="B20" s="3" t="s">
        <v>94</v>
      </c>
      <c r="C20" s="4">
        <v>3215</v>
      </c>
      <c r="D20">
        <v>20</v>
      </c>
      <c r="G20" t="str">
        <f t="shared" si="0"/>
        <v>Marketing</v>
      </c>
      <c r="H20" s="7">
        <f t="shared" si="0"/>
        <v>9500</v>
      </c>
      <c r="L20" s="3" t="s">
        <v>78</v>
      </c>
      <c r="M20" s="4">
        <v>10000</v>
      </c>
      <c r="N20">
        <v>9</v>
      </c>
      <c r="O20" s="8"/>
      <c r="Q20" s="3">
        <v>13</v>
      </c>
      <c r="R20">
        <v>9000</v>
      </c>
    </row>
    <row r="21" spans="2:18" x14ac:dyDescent="0.35">
      <c r="B21" s="3" t="s">
        <v>116</v>
      </c>
      <c r="C21" s="4">
        <v>2785</v>
      </c>
      <c r="D21">
        <v>20</v>
      </c>
      <c r="G21" t="str">
        <f t="shared" si="0"/>
        <v>Sales</v>
      </c>
      <c r="H21" s="7">
        <f t="shared" si="0"/>
        <v>8955.8823529411766</v>
      </c>
      <c r="L21" s="3" t="s">
        <v>65</v>
      </c>
      <c r="M21" s="4">
        <v>10000</v>
      </c>
      <c r="N21">
        <v>11</v>
      </c>
      <c r="O21" s="8"/>
      <c r="Q21" s="3">
        <v>8</v>
      </c>
      <c r="R21">
        <v>9500</v>
      </c>
    </row>
    <row r="22" spans="2:18" x14ac:dyDescent="0.35">
      <c r="B22" s="3" t="s">
        <v>48</v>
      </c>
      <c r="C22" s="4">
        <v>2780</v>
      </c>
      <c r="D22">
        <v>5</v>
      </c>
      <c r="G22" t="str">
        <f t="shared" si="0"/>
        <v>Finance</v>
      </c>
      <c r="H22" s="7">
        <f t="shared" si="0"/>
        <v>8601.3333333333339</v>
      </c>
      <c r="L22" s="3" t="s">
        <v>44</v>
      </c>
      <c r="M22" s="4">
        <v>10000</v>
      </c>
      <c r="N22">
        <v>13</v>
      </c>
      <c r="O22" s="8"/>
      <c r="Q22" s="3">
        <v>10</v>
      </c>
      <c r="R22">
        <v>9500</v>
      </c>
    </row>
    <row r="23" spans="2:18" x14ac:dyDescent="0.35">
      <c r="B23" s="3" t="s">
        <v>143</v>
      </c>
      <c r="C23" s="4">
        <v>6456.7547169811323</v>
      </c>
      <c r="D23">
        <v>106</v>
      </c>
      <c r="G23" t="str">
        <f t="shared" si="0"/>
        <v>Human Resources</v>
      </c>
      <c r="H23" s="7">
        <f t="shared" si="0"/>
        <v>6500</v>
      </c>
      <c r="L23" s="3" t="s">
        <v>79</v>
      </c>
      <c r="M23" s="4">
        <v>9600</v>
      </c>
      <c r="N23">
        <v>9</v>
      </c>
      <c r="O23" s="8"/>
      <c r="Q23" s="3">
        <v>7</v>
      </c>
      <c r="R23">
        <v>6800</v>
      </c>
    </row>
    <row r="24" spans="2:18" x14ac:dyDescent="0.35">
      <c r="G24" t="str">
        <f t="shared" si="0"/>
        <v>IT</v>
      </c>
      <c r="H24" s="7">
        <f t="shared" si="0"/>
        <v>5760</v>
      </c>
      <c r="L24" s="3" t="s">
        <v>66</v>
      </c>
      <c r="M24" s="4">
        <v>9500</v>
      </c>
      <c r="N24">
        <v>11</v>
      </c>
      <c r="O24" s="8"/>
      <c r="Q24" s="3">
        <v>10</v>
      </c>
      <c r="R24">
        <v>4800</v>
      </c>
    </row>
    <row r="25" spans="2:18" x14ac:dyDescent="0.35">
      <c r="G25" t="str">
        <f t="shared" si="0"/>
        <v>Administration</v>
      </c>
      <c r="H25" s="7">
        <f t="shared" si="0"/>
        <v>4400</v>
      </c>
      <c r="L25" s="3" t="s">
        <v>72</v>
      </c>
      <c r="M25" s="4">
        <v>9500</v>
      </c>
      <c r="N25">
        <v>8</v>
      </c>
      <c r="O25" s="8"/>
      <c r="Q25" s="3">
        <v>12</v>
      </c>
      <c r="R25">
        <v>11000</v>
      </c>
    </row>
    <row r="26" spans="2:18" x14ac:dyDescent="0.35">
      <c r="G26" t="str">
        <f t="shared" si="0"/>
        <v>Purchasing</v>
      </c>
      <c r="H26" s="7">
        <f t="shared" si="0"/>
        <v>4150</v>
      </c>
      <c r="L26" s="3" t="s">
        <v>90</v>
      </c>
      <c r="M26" s="4">
        <v>9500</v>
      </c>
      <c r="N26">
        <v>10</v>
      </c>
      <c r="O26" s="8"/>
      <c r="Q26" s="3">
        <v>8</v>
      </c>
      <c r="R26">
        <v>4200</v>
      </c>
    </row>
    <row r="27" spans="2:18" x14ac:dyDescent="0.35">
      <c r="G27" t="str">
        <f>G14</f>
        <v>Shipping</v>
      </c>
      <c r="H27" s="7">
        <f t="shared" ref="H27" si="1">H14</f>
        <v>3475.5555555555557</v>
      </c>
      <c r="L27" s="3" t="s">
        <v>67</v>
      </c>
      <c r="M27" s="4">
        <v>9000</v>
      </c>
      <c r="N27">
        <v>11</v>
      </c>
      <c r="O27" s="8"/>
      <c r="Q27" s="3">
        <v>8</v>
      </c>
      <c r="R27">
        <v>2600</v>
      </c>
    </row>
    <row r="28" spans="2:18" x14ac:dyDescent="0.35">
      <c r="H28" s="7"/>
      <c r="L28" s="3" t="s">
        <v>32</v>
      </c>
      <c r="M28" s="4">
        <v>9000</v>
      </c>
      <c r="N28">
        <v>9</v>
      </c>
      <c r="O28" s="8"/>
      <c r="Q28" s="3">
        <v>7</v>
      </c>
      <c r="R28">
        <v>2600</v>
      </c>
    </row>
    <row r="29" spans="2:18" x14ac:dyDescent="0.35">
      <c r="L29" s="3" t="s">
        <v>23</v>
      </c>
      <c r="M29" s="4">
        <v>9000</v>
      </c>
      <c r="N29">
        <v>13</v>
      </c>
      <c r="O29" s="8"/>
      <c r="Q29" s="3">
        <v>7</v>
      </c>
      <c r="R29">
        <v>10500</v>
      </c>
    </row>
    <row r="30" spans="2:18" x14ac:dyDescent="0.35">
      <c r="L30" s="3" t="s">
        <v>89</v>
      </c>
      <c r="M30" s="4">
        <v>9000</v>
      </c>
      <c r="N30">
        <v>10</v>
      </c>
      <c r="O30" s="8"/>
      <c r="Q30" s="3">
        <v>8</v>
      </c>
      <c r="R30">
        <v>7300</v>
      </c>
    </row>
    <row r="31" spans="2:18" x14ac:dyDescent="0.35">
      <c r="L31" s="3" t="s">
        <v>84</v>
      </c>
      <c r="M31" s="4">
        <v>8800</v>
      </c>
      <c r="N31">
        <v>10</v>
      </c>
      <c r="O31" s="8"/>
      <c r="Q31" s="3">
        <v>11</v>
      </c>
      <c r="R31">
        <v>11000</v>
      </c>
    </row>
    <row r="32" spans="2:18" x14ac:dyDescent="0.35">
      <c r="L32" s="3" t="s">
        <v>85</v>
      </c>
      <c r="M32" s="4">
        <v>8600</v>
      </c>
      <c r="N32">
        <v>9</v>
      </c>
      <c r="O32" s="8"/>
      <c r="Q32" s="3">
        <v>8</v>
      </c>
      <c r="R32">
        <v>11000</v>
      </c>
    </row>
    <row r="33" spans="12:18" x14ac:dyDescent="0.35">
      <c r="L33" s="3" t="s">
        <v>86</v>
      </c>
      <c r="M33" s="4">
        <v>8400</v>
      </c>
      <c r="N33">
        <v>9</v>
      </c>
      <c r="O33" s="8"/>
      <c r="Q33" s="3">
        <v>7</v>
      </c>
      <c r="R33">
        <v>2800</v>
      </c>
    </row>
    <row r="34" spans="12:18" x14ac:dyDescent="0.35">
      <c r="L34" s="3" t="s">
        <v>6</v>
      </c>
      <c r="M34" s="4">
        <v>8300</v>
      </c>
      <c r="N34">
        <v>13</v>
      </c>
      <c r="O34" s="8"/>
      <c r="Q34" s="3">
        <v>8</v>
      </c>
      <c r="R34">
        <v>2600</v>
      </c>
    </row>
    <row r="35" spans="12:18" x14ac:dyDescent="0.35">
      <c r="L35" s="3" t="s">
        <v>20</v>
      </c>
      <c r="M35" s="4">
        <v>8200</v>
      </c>
      <c r="N35">
        <v>10</v>
      </c>
      <c r="O35" s="8"/>
      <c r="Q35" s="3">
        <v>9</v>
      </c>
      <c r="R35">
        <v>10000</v>
      </c>
    </row>
    <row r="36" spans="12:18" x14ac:dyDescent="0.35">
      <c r="L36" s="3" t="s">
        <v>140</v>
      </c>
      <c r="M36" s="4">
        <v>8200</v>
      </c>
      <c r="N36">
        <v>10</v>
      </c>
      <c r="O36" s="8"/>
      <c r="Q36" s="3">
        <v>7</v>
      </c>
      <c r="R36">
        <v>2200</v>
      </c>
    </row>
    <row r="37" spans="12:18" x14ac:dyDescent="0.35">
      <c r="L37" s="3" t="s">
        <v>141</v>
      </c>
      <c r="M37" s="4">
        <v>8000</v>
      </c>
      <c r="N37">
        <v>11</v>
      </c>
      <c r="O37" s="8"/>
      <c r="Q37" s="3">
        <v>13</v>
      </c>
      <c r="R37">
        <v>10000</v>
      </c>
    </row>
    <row r="38" spans="12:18" x14ac:dyDescent="0.35">
      <c r="L38" s="3" t="s">
        <v>88</v>
      </c>
      <c r="M38" s="4">
        <v>8000</v>
      </c>
      <c r="N38">
        <v>9</v>
      </c>
      <c r="O38" s="8"/>
      <c r="Q38" s="3">
        <v>9</v>
      </c>
      <c r="R38">
        <v>2700</v>
      </c>
    </row>
    <row r="39" spans="12:18" x14ac:dyDescent="0.35">
      <c r="L39" s="3" t="s">
        <v>68</v>
      </c>
      <c r="M39" s="4">
        <v>8000</v>
      </c>
      <c r="N39">
        <v>10</v>
      </c>
      <c r="O39" s="8"/>
      <c r="Q39" s="3">
        <v>10</v>
      </c>
      <c r="R39">
        <v>7700</v>
      </c>
    </row>
    <row r="40" spans="12:18" x14ac:dyDescent="0.35">
      <c r="L40" s="3" t="s">
        <v>139</v>
      </c>
      <c r="M40" s="4">
        <v>7900</v>
      </c>
      <c r="N40">
        <v>12</v>
      </c>
      <c r="O40" s="8"/>
      <c r="Q40" s="3">
        <v>9</v>
      </c>
      <c r="R40">
        <v>8400</v>
      </c>
    </row>
    <row r="41" spans="12:18" x14ac:dyDescent="0.35">
      <c r="L41" s="3" t="s">
        <v>26</v>
      </c>
      <c r="M41" s="4">
        <v>7800</v>
      </c>
      <c r="N41">
        <v>9</v>
      </c>
      <c r="O41" s="8"/>
      <c r="Q41" s="3">
        <v>8</v>
      </c>
      <c r="R41">
        <v>2400</v>
      </c>
    </row>
    <row r="42" spans="12:18" x14ac:dyDescent="0.35">
      <c r="L42" s="3" t="s">
        <v>25</v>
      </c>
      <c r="M42" s="4">
        <v>7700</v>
      </c>
      <c r="N42">
        <v>10</v>
      </c>
      <c r="O42" s="8"/>
      <c r="Q42" s="3">
        <v>10</v>
      </c>
      <c r="R42">
        <v>2500</v>
      </c>
    </row>
    <row r="43" spans="12:18" x14ac:dyDescent="0.35">
      <c r="L43" s="3" t="s">
        <v>87</v>
      </c>
      <c r="M43" s="4">
        <v>7500</v>
      </c>
      <c r="N43">
        <v>8</v>
      </c>
      <c r="O43" s="8"/>
      <c r="Q43" s="3">
        <v>11</v>
      </c>
      <c r="R43">
        <v>10000</v>
      </c>
    </row>
    <row r="44" spans="12:18" x14ac:dyDescent="0.35">
      <c r="L44" s="3" t="s">
        <v>69</v>
      </c>
      <c r="M44" s="4">
        <v>7500</v>
      </c>
      <c r="N44">
        <v>9</v>
      </c>
      <c r="O44" s="8"/>
      <c r="Q44" s="3">
        <v>11</v>
      </c>
      <c r="R44">
        <v>3300</v>
      </c>
    </row>
    <row r="45" spans="12:18" x14ac:dyDescent="0.35">
      <c r="L45" s="3" t="s">
        <v>80</v>
      </c>
      <c r="M45" s="4">
        <v>7400</v>
      </c>
      <c r="N45">
        <v>8</v>
      </c>
      <c r="O45" s="8"/>
      <c r="Q45" s="3">
        <v>9</v>
      </c>
      <c r="R45">
        <v>3100</v>
      </c>
    </row>
    <row r="46" spans="12:18" x14ac:dyDescent="0.35">
      <c r="L46" s="3" t="s">
        <v>81</v>
      </c>
      <c r="M46" s="4">
        <v>7300</v>
      </c>
      <c r="N46">
        <v>8</v>
      </c>
      <c r="O46" s="8"/>
      <c r="Q46" s="3">
        <v>10</v>
      </c>
      <c r="R46">
        <v>3600</v>
      </c>
    </row>
    <row r="47" spans="12:18" x14ac:dyDescent="0.35">
      <c r="L47" s="3" t="s">
        <v>73</v>
      </c>
      <c r="M47" s="4">
        <v>7200</v>
      </c>
      <c r="N47">
        <v>7</v>
      </c>
      <c r="O47" s="8"/>
      <c r="Q47" s="3">
        <v>12</v>
      </c>
      <c r="R47">
        <v>4400</v>
      </c>
    </row>
    <row r="48" spans="12:18" x14ac:dyDescent="0.35">
      <c r="L48" s="3" t="s">
        <v>70</v>
      </c>
      <c r="M48" s="4">
        <v>7000</v>
      </c>
      <c r="N48">
        <v>9</v>
      </c>
      <c r="O48" s="8"/>
      <c r="Q48" s="3">
        <v>10</v>
      </c>
      <c r="R48">
        <v>8200</v>
      </c>
    </row>
    <row r="49" spans="12:18" x14ac:dyDescent="0.35">
      <c r="L49" s="3" t="s">
        <v>63</v>
      </c>
      <c r="M49" s="4">
        <v>7000</v>
      </c>
      <c r="N49">
        <v>7</v>
      </c>
      <c r="O49" s="8"/>
      <c r="Q49" s="3">
        <v>9</v>
      </c>
      <c r="R49">
        <v>2700</v>
      </c>
    </row>
    <row r="50" spans="12:18" x14ac:dyDescent="0.35">
      <c r="L50" s="3" t="s">
        <v>24</v>
      </c>
      <c r="M50" s="4">
        <v>6900</v>
      </c>
      <c r="N50">
        <v>7</v>
      </c>
      <c r="O50" s="8"/>
      <c r="Q50" s="3">
        <v>11</v>
      </c>
      <c r="R50">
        <v>14000</v>
      </c>
    </row>
    <row r="51" spans="12:18" x14ac:dyDescent="0.35">
      <c r="L51" s="3" t="s">
        <v>74</v>
      </c>
      <c r="M51" s="4">
        <v>6800</v>
      </c>
      <c r="N51">
        <v>7</v>
      </c>
      <c r="O51" s="8"/>
      <c r="Q51" s="3">
        <v>9</v>
      </c>
      <c r="R51">
        <v>8600</v>
      </c>
    </row>
    <row r="52" spans="12:18" x14ac:dyDescent="0.35">
      <c r="L52" s="3" t="s">
        <v>138</v>
      </c>
      <c r="M52" s="4">
        <v>6500</v>
      </c>
      <c r="N52">
        <v>10</v>
      </c>
      <c r="O52" s="8"/>
      <c r="Q52" s="3">
        <v>9</v>
      </c>
      <c r="R52">
        <v>7800</v>
      </c>
    </row>
    <row r="53" spans="12:18" x14ac:dyDescent="0.35">
      <c r="L53" s="3" t="s">
        <v>29</v>
      </c>
      <c r="M53" s="4">
        <v>6500</v>
      </c>
      <c r="N53">
        <v>13</v>
      </c>
      <c r="O53" s="8"/>
      <c r="Q53" s="3">
        <v>9</v>
      </c>
      <c r="R53">
        <v>2500</v>
      </c>
    </row>
    <row r="54" spans="12:18" x14ac:dyDescent="0.35">
      <c r="L54" s="3" t="s">
        <v>75</v>
      </c>
      <c r="M54" s="4">
        <v>6400</v>
      </c>
      <c r="N54">
        <v>7</v>
      </c>
      <c r="O54" s="8"/>
      <c r="Q54" s="3">
        <v>9</v>
      </c>
      <c r="R54">
        <v>3400</v>
      </c>
    </row>
    <row r="55" spans="12:18" x14ac:dyDescent="0.35">
      <c r="L55" s="3" t="s">
        <v>76</v>
      </c>
      <c r="M55" s="4">
        <v>6200</v>
      </c>
      <c r="N55">
        <v>7</v>
      </c>
      <c r="O55" s="8"/>
      <c r="Q55" s="3">
        <v>10</v>
      </c>
      <c r="R55">
        <v>3200</v>
      </c>
    </row>
    <row r="56" spans="12:18" x14ac:dyDescent="0.35">
      <c r="L56" s="3" t="s">
        <v>71</v>
      </c>
      <c r="M56" s="4">
        <v>6200</v>
      </c>
      <c r="N56">
        <v>7</v>
      </c>
      <c r="O56" s="8"/>
      <c r="Q56" s="3">
        <v>8</v>
      </c>
      <c r="R56">
        <v>2500</v>
      </c>
    </row>
    <row r="57" spans="12:18" x14ac:dyDescent="0.35">
      <c r="L57" s="3" t="s">
        <v>82</v>
      </c>
      <c r="M57" s="4">
        <v>6100</v>
      </c>
      <c r="N57">
        <v>7</v>
      </c>
      <c r="O57" s="8"/>
      <c r="Q57" s="3">
        <v>10</v>
      </c>
      <c r="R57">
        <v>13500</v>
      </c>
    </row>
    <row r="58" spans="12:18" x14ac:dyDescent="0.35">
      <c r="L58" s="3" t="s">
        <v>35</v>
      </c>
      <c r="M58" s="4">
        <v>6000</v>
      </c>
      <c r="N58">
        <v>8</v>
      </c>
      <c r="O58" s="8"/>
      <c r="Q58" s="3">
        <v>10</v>
      </c>
      <c r="R58">
        <v>3800</v>
      </c>
    </row>
    <row r="59" spans="12:18" x14ac:dyDescent="0.35">
      <c r="L59" s="3" t="s">
        <v>42</v>
      </c>
      <c r="M59" s="4">
        <v>6000</v>
      </c>
      <c r="N59">
        <v>10</v>
      </c>
      <c r="O59" s="8"/>
      <c r="Q59" s="3">
        <v>9</v>
      </c>
      <c r="R59">
        <v>3000</v>
      </c>
    </row>
    <row r="60" spans="12:18" x14ac:dyDescent="0.35">
      <c r="L60" s="3" t="s">
        <v>136</v>
      </c>
      <c r="M60" s="4">
        <v>5800</v>
      </c>
      <c r="N60">
        <v>7</v>
      </c>
      <c r="O60" s="8"/>
      <c r="Q60" s="3">
        <v>7</v>
      </c>
      <c r="R60">
        <v>5800</v>
      </c>
    </row>
    <row r="61" spans="12:18" x14ac:dyDescent="0.35">
      <c r="L61" s="3" t="s">
        <v>37</v>
      </c>
      <c r="M61" s="4">
        <v>4800</v>
      </c>
      <c r="N61">
        <v>9</v>
      </c>
      <c r="O61" s="8"/>
      <c r="Q61" s="3">
        <v>7</v>
      </c>
      <c r="R61">
        <v>2400</v>
      </c>
    </row>
    <row r="62" spans="12:18" x14ac:dyDescent="0.35">
      <c r="L62" s="3" t="s">
        <v>38</v>
      </c>
      <c r="M62" s="4">
        <v>4800</v>
      </c>
      <c r="N62">
        <v>10</v>
      </c>
      <c r="O62" s="8"/>
      <c r="Q62" s="3">
        <v>10</v>
      </c>
      <c r="R62">
        <v>3300</v>
      </c>
    </row>
    <row r="63" spans="12:18" x14ac:dyDescent="0.35">
      <c r="L63" s="3" t="s">
        <v>11</v>
      </c>
      <c r="M63" s="4">
        <v>4400</v>
      </c>
      <c r="N63">
        <v>12</v>
      </c>
      <c r="O63" s="8"/>
      <c r="Q63" s="3">
        <v>14</v>
      </c>
      <c r="R63">
        <v>17000</v>
      </c>
    </row>
    <row r="64" spans="12:18" x14ac:dyDescent="0.35">
      <c r="L64" s="3" t="s">
        <v>36</v>
      </c>
      <c r="M64" s="4">
        <v>4200</v>
      </c>
      <c r="N64">
        <v>8</v>
      </c>
      <c r="O64" s="8"/>
      <c r="Q64" s="3">
        <v>10</v>
      </c>
      <c r="R64">
        <v>8000</v>
      </c>
    </row>
    <row r="65" spans="12:18" x14ac:dyDescent="0.35">
      <c r="L65" s="3" t="s">
        <v>93</v>
      </c>
      <c r="M65" s="4">
        <v>4200</v>
      </c>
      <c r="N65">
        <v>11</v>
      </c>
      <c r="O65" s="8"/>
      <c r="Q65" s="3">
        <v>10</v>
      </c>
      <c r="R65">
        <v>11500</v>
      </c>
    </row>
    <row r="66" spans="12:18" x14ac:dyDescent="0.35">
      <c r="L66" s="3" t="s">
        <v>96</v>
      </c>
      <c r="M66" s="4">
        <v>4100</v>
      </c>
      <c r="N66">
        <v>10</v>
      </c>
      <c r="O66" s="8"/>
      <c r="Q66" s="3">
        <v>9</v>
      </c>
      <c r="R66">
        <v>7500</v>
      </c>
    </row>
    <row r="67" spans="12:18" x14ac:dyDescent="0.35">
      <c r="L67" s="3" t="s">
        <v>103</v>
      </c>
      <c r="M67" s="4">
        <v>4000</v>
      </c>
      <c r="N67">
        <v>11</v>
      </c>
      <c r="O67" s="8"/>
      <c r="Q67" s="3">
        <v>7</v>
      </c>
      <c r="R67">
        <v>6900</v>
      </c>
    </row>
    <row r="68" spans="12:18" x14ac:dyDescent="0.35">
      <c r="L68" s="3" t="s">
        <v>104</v>
      </c>
      <c r="M68" s="4">
        <v>3900</v>
      </c>
      <c r="N68">
        <v>10</v>
      </c>
      <c r="O68" s="8"/>
      <c r="Q68" s="3">
        <v>8</v>
      </c>
      <c r="R68">
        <v>2500</v>
      </c>
    </row>
    <row r="69" spans="12:18" x14ac:dyDescent="0.35">
      <c r="L69" s="3" t="s">
        <v>99</v>
      </c>
      <c r="M69" s="4">
        <v>3800</v>
      </c>
      <c r="N69">
        <v>10</v>
      </c>
      <c r="O69" s="8"/>
      <c r="Q69" s="3">
        <v>7</v>
      </c>
      <c r="R69">
        <v>7200</v>
      </c>
    </row>
    <row r="70" spans="12:18" x14ac:dyDescent="0.35">
      <c r="L70" s="3" t="s">
        <v>100</v>
      </c>
      <c r="M70" s="4">
        <v>3600</v>
      </c>
      <c r="N70">
        <v>10</v>
      </c>
      <c r="O70" s="8"/>
      <c r="Q70" s="3">
        <v>11</v>
      </c>
      <c r="R70">
        <v>8000</v>
      </c>
    </row>
    <row r="71" spans="12:18" x14ac:dyDescent="0.35">
      <c r="L71" s="3" t="s">
        <v>133</v>
      </c>
      <c r="M71" s="4">
        <v>3600</v>
      </c>
      <c r="N71">
        <v>12</v>
      </c>
      <c r="O71" s="8"/>
      <c r="Q71" s="3">
        <v>11</v>
      </c>
      <c r="R71">
        <v>13000</v>
      </c>
    </row>
    <row r="72" spans="12:18" x14ac:dyDescent="0.35">
      <c r="L72" s="3" t="s">
        <v>119</v>
      </c>
      <c r="M72" s="4">
        <v>3500</v>
      </c>
      <c r="N72">
        <v>12</v>
      </c>
      <c r="O72" s="8"/>
      <c r="Q72" s="3">
        <v>9</v>
      </c>
      <c r="R72">
        <v>2900</v>
      </c>
    </row>
    <row r="73" spans="12:18" x14ac:dyDescent="0.35">
      <c r="L73" s="3" t="s">
        <v>97</v>
      </c>
      <c r="M73" s="4">
        <v>3400</v>
      </c>
      <c r="N73">
        <v>9</v>
      </c>
      <c r="O73" s="8"/>
      <c r="Q73" s="3">
        <v>10</v>
      </c>
      <c r="R73">
        <v>2800</v>
      </c>
    </row>
    <row r="74" spans="12:18" x14ac:dyDescent="0.35">
      <c r="L74" s="3" t="s">
        <v>125</v>
      </c>
      <c r="M74" s="4">
        <v>3300</v>
      </c>
      <c r="N74">
        <v>10</v>
      </c>
      <c r="O74" s="8"/>
      <c r="Q74" s="3">
        <v>13</v>
      </c>
      <c r="R74">
        <v>12008</v>
      </c>
    </row>
    <row r="75" spans="12:18" x14ac:dyDescent="0.35">
      <c r="L75" s="3" t="s">
        <v>129</v>
      </c>
      <c r="M75" s="4">
        <v>3300</v>
      </c>
      <c r="N75">
        <v>11</v>
      </c>
      <c r="O75" s="8"/>
      <c r="Q75" s="3">
        <v>11</v>
      </c>
      <c r="R75">
        <v>4200</v>
      </c>
    </row>
    <row r="76" spans="12:18" x14ac:dyDescent="0.35">
      <c r="L76" s="3" t="s">
        <v>134</v>
      </c>
      <c r="M76" s="4">
        <v>3200</v>
      </c>
      <c r="N76">
        <v>10</v>
      </c>
      <c r="O76" s="8"/>
      <c r="Q76" s="3">
        <v>8</v>
      </c>
      <c r="R76">
        <v>7500</v>
      </c>
    </row>
    <row r="77" spans="12:18" x14ac:dyDescent="0.35">
      <c r="L77" s="3" t="s">
        <v>105</v>
      </c>
      <c r="M77" s="4">
        <v>3200</v>
      </c>
      <c r="N77">
        <v>9</v>
      </c>
      <c r="O77" s="8"/>
      <c r="Q77" s="3">
        <v>10</v>
      </c>
      <c r="R77">
        <v>17000</v>
      </c>
    </row>
    <row r="78" spans="12:18" x14ac:dyDescent="0.35">
      <c r="L78" s="3" t="s">
        <v>111</v>
      </c>
      <c r="M78" s="4">
        <v>3200</v>
      </c>
      <c r="N78">
        <v>9</v>
      </c>
      <c r="O78" s="8"/>
      <c r="Q78" s="3">
        <v>7</v>
      </c>
      <c r="R78">
        <v>7000</v>
      </c>
    </row>
    <row r="79" spans="12:18" x14ac:dyDescent="0.35">
      <c r="L79" s="3" t="s">
        <v>121</v>
      </c>
      <c r="M79" s="4">
        <v>3200</v>
      </c>
      <c r="N79">
        <v>10</v>
      </c>
      <c r="O79" s="8"/>
      <c r="Q79" s="3">
        <v>10</v>
      </c>
      <c r="R79">
        <v>6000</v>
      </c>
    </row>
    <row r="80" spans="12:18" x14ac:dyDescent="0.35">
      <c r="L80" s="3" t="s">
        <v>112</v>
      </c>
      <c r="M80" s="4">
        <v>3100</v>
      </c>
      <c r="N80">
        <v>9</v>
      </c>
      <c r="O80" s="8"/>
      <c r="Q80" s="3">
        <v>11</v>
      </c>
      <c r="R80">
        <v>9500</v>
      </c>
    </row>
    <row r="81" spans="12:18" x14ac:dyDescent="0.35">
      <c r="L81" s="3" t="s">
        <v>50</v>
      </c>
      <c r="M81" s="4">
        <v>3100</v>
      </c>
      <c r="N81">
        <v>12</v>
      </c>
      <c r="O81" s="8"/>
      <c r="Q81" s="3">
        <v>12</v>
      </c>
      <c r="R81">
        <v>7900</v>
      </c>
    </row>
    <row r="82" spans="12:18" x14ac:dyDescent="0.35">
      <c r="L82" s="3" t="s">
        <v>107</v>
      </c>
      <c r="M82" s="4">
        <v>3100</v>
      </c>
      <c r="N82">
        <v>9</v>
      </c>
      <c r="O82" s="8"/>
      <c r="Q82" s="3">
        <v>10</v>
      </c>
      <c r="R82">
        <v>9000</v>
      </c>
    </row>
    <row r="83" spans="12:18" x14ac:dyDescent="0.35">
      <c r="L83" s="3" t="s">
        <v>118</v>
      </c>
      <c r="M83" s="4">
        <v>3100</v>
      </c>
      <c r="N83">
        <v>10</v>
      </c>
      <c r="O83" s="8"/>
      <c r="Q83" s="3">
        <v>9</v>
      </c>
      <c r="R83">
        <v>2500</v>
      </c>
    </row>
    <row r="84" spans="12:18" x14ac:dyDescent="0.35">
      <c r="L84" s="3" t="s">
        <v>98</v>
      </c>
      <c r="M84" s="4">
        <v>3000</v>
      </c>
      <c r="N84">
        <v>8</v>
      </c>
      <c r="O84" s="8"/>
      <c r="Q84" s="3">
        <v>9</v>
      </c>
      <c r="R84">
        <v>2600</v>
      </c>
    </row>
    <row r="85" spans="12:18" x14ac:dyDescent="0.35">
      <c r="L85" s="3" t="s">
        <v>108</v>
      </c>
      <c r="M85" s="4">
        <v>3000</v>
      </c>
      <c r="N85">
        <v>9</v>
      </c>
      <c r="O85" s="8"/>
      <c r="Q85" s="3">
        <v>7</v>
      </c>
      <c r="R85">
        <v>2500</v>
      </c>
    </row>
    <row r="86" spans="12:18" x14ac:dyDescent="0.35">
      <c r="L86" s="3" t="s">
        <v>101</v>
      </c>
      <c r="M86" s="4">
        <v>2900</v>
      </c>
      <c r="N86">
        <v>9</v>
      </c>
      <c r="O86" s="8"/>
      <c r="Q86" s="3">
        <v>12</v>
      </c>
      <c r="R86">
        <v>3600</v>
      </c>
    </row>
    <row r="87" spans="12:18" x14ac:dyDescent="0.35">
      <c r="L87" s="3" t="s">
        <v>130</v>
      </c>
      <c r="M87" s="4">
        <v>2900</v>
      </c>
      <c r="N87">
        <v>9</v>
      </c>
      <c r="O87" s="8"/>
      <c r="Q87" s="3">
        <v>9</v>
      </c>
      <c r="R87">
        <v>3200</v>
      </c>
    </row>
    <row r="88" spans="12:18" x14ac:dyDescent="0.35">
      <c r="L88" s="3" t="s">
        <v>47</v>
      </c>
      <c r="M88" s="4">
        <v>2900</v>
      </c>
      <c r="N88">
        <v>9</v>
      </c>
      <c r="O88" s="8"/>
      <c r="Q88" s="3">
        <v>11</v>
      </c>
      <c r="R88">
        <v>4000</v>
      </c>
    </row>
    <row r="89" spans="12:18" x14ac:dyDescent="0.35">
      <c r="L89" s="3" t="s">
        <v>114</v>
      </c>
      <c r="M89" s="4">
        <v>2800</v>
      </c>
      <c r="N89">
        <v>7</v>
      </c>
      <c r="O89" s="8"/>
      <c r="Q89" s="3">
        <v>9</v>
      </c>
      <c r="R89">
        <v>7000</v>
      </c>
    </row>
    <row r="90" spans="12:18" x14ac:dyDescent="0.35">
      <c r="L90" s="3" t="s">
        <v>106</v>
      </c>
      <c r="M90" s="4">
        <v>2800</v>
      </c>
      <c r="N90">
        <v>8</v>
      </c>
      <c r="O90" s="8"/>
      <c r="Q90" s="3">
        <v>10</v>
      </c>
      <c r="R90">
        <v>10000</v>
      </c>
    </row>
    <row r="91" spans="12:18" x14ac:dyDescent="0.35">
      <c r="L91" s="3" t="s">
        <v>126</v>
      </c>
      <c r="M91" s="4">
        <v>2800</v>
      </c>
      <c r="N91">
        <v>10</v>
      </c>
      <c r="O91" s="8"/>
      <c r="Q91" s="3">
        <v>10</v>
      </c>
      <c r="R91">
        <v>6500</v>
      </c>
    </row>
    <row r="92" spans="12:18" x14ac:dyDescent="0.35">
      <c r="L92" s="3" t="s">
        <v>51</v>
      </c>
      <c r="M92" s="4">
        <v>2800</v>
      </c>
      <c r="N92">
        <v>10</v>
      </c>
      <c r="O92" s="8"/>
      <c r="Q92" s="3">
        <v>13</v>
      </c>
      <c r="R92">
        <v>12008</v>
      </c>
    </row>
    <row r="93" spans="12:18" x14ac:dyDescent="0.35">
      <c r="L93" s="3" t="s">
        <v>135</v>
      </c>
      <c r="M93" s="4">
        <v>2700</v>
      </c>
      <c r="N93">
        <v>9</v>
      </c>
      <c r="O93" s="8"/>
      <c r="Q93" s="3">
        <v>9</v>
      </c>
      <c r="R93">
        <v>2900</v>
      </c>
    </row>
    <row r="94" spans="12:18" x14ac:dyDescent="0.35">
      <c r="L94" s="3" t="s">
        <v>122</v>
      </c>
      <c r="M94" s="4">
        <v>2700</v>
      </c>
      <c r="N94">
        <v>9</v>
      </c>
      <c r="O94" s="8"/>
      <c r="Q94" s="3">
        <v>10</v>
      </c>
      <c r="R94">
        <v>2800</v>
      </c>
    </row>
    <row r="95" spans="12:18" x14ac:dyDescent="0.35">
      <c r="L95" s="3" t="s">
        <v>52</v>
      </c>
      <c r="M95" s="4">
        <v>2600</v>
      </c>
      <c r="N95">
        <v>8</v>
      </c>
      <c r="O95" s="8"/>
      <c r="Q95" s="3">
        <v>10</v>
      </c>
      <c r="R95">
        <v>3200</v>
      </c>
    </row>
    <row r="96" spans="12:18" x14ac:dyDescent="0.35">
      <c r="L96" s="3" t="s">
        <v>109</v>
      </c>
      <c r="M96" s="4">
        <v>2600</v>
      </c>
      <c r="N96">
        <v>8</v>
      </c>
      <c r="O96" s="8"/>
      <c r="Q96" s="3">
        <v>12</v>
      </c>
      <c r="R96">
        <v>24000</v>
      </c>
    </row>
    <row r="97" spans="12:18" x14ac:dyDescent="0.35">
      <c r="L97" s="3" t="s">
        <v>110</v>
      </c>
      <c r="M97" s="4">
        <v>2600</v>
      </c>
      <c r="N97">
        <v>7</v>
      </c>
      <c r="O97" s="8"/>
      <c r="Q97" s="3">
        <v>7</v>
      </c>
      <c r="R97">
        <v>2200</v>
      </c>
    </row>
    <row r="98" spans="12:18" x14ac:dyDescent="0.35">
      <c r="L98" s="3" t="s">
        <v>117</v>
      </c>
      <c r="M98" s="4">
        <v>2600</v>
      </c>
      <c r="N98">
        <v>9</v>
      </c>
      <c r="O98" s="8"/>
      <c r="Q98" s="3">
        <v>7</v>
      </c>
      <c r="R98">
        <v>6400</v>
      </c>
    </row>
    <row r="99" spans="12:18" x14ac:dyDescent="0.35">
      <c r="L99" s="3" t="s">
        <v>120</v>
      </c>
      <c r="M99" s="4">
        <v>2500</v>
      </c>
      <c r="N99">
        <v>9</v>
      </c>
      <c r="O99" s="8"/>
      <c r="Q99" s="3">
        <v>7</v>
      </c>
      <c r="R99">
        <v>6100</v>
      </c>
    </row>
    <row r="100" spans="12:18" x14ac:dyDescent="0.35">
      <c r="L100" s="3" t="s">
        <v>113</v>
      </c>
      <c r="M100" s="4">
        <v>2500</v>
      </c>
      <c r="N100">
        <v>8</v>
      </c>
      <c r="O100" s="8"/>
      <c r="Q100" s="3">
        <v>13</v>
      </c>
      <c r="R100">
        <v>6500</v>
      </c>
    </row>
    <row r="101" spans="12:18" x14ac:dyDescent="0.35">
      <c r="L101" s="3" t="s">
        <v>102</v>
      </c>
      <c r="M101" s="4">
        <v>2500</v>
      </c>
      <c r="N101">
        <v>7</v>
      </c>
      <c r="O101" s="8"/>
      <c r="Q101" s="3">
        <v>9</v>
      </c>
      <c r="R101">
        <v>9600</v>
      </c>
    </row>
    <row r="102" spans="12:18" x14ac:dyDescent="0.35">
      <c r="L102" s="3" t="s">
        <v>127</v>
      </c>
      <c r="M102" s="4">
        <v>2500</v>
      </c>
      <c r="N102">
        <v>10</v>
      </c>
      <c r="O102" s="8"/>
      <c r="Q102" s="3">
        <v>9</v>
      </c>
      <c r="R102">
        <v>2900</v>
      </c>
    </row>
    <row r="103" spans="12:18" x14ac:dyDescent="0.35">
      <c r="L103" s="3" t="s">
        <v>128</v>
      </c>
      <c r="M103" s="4">
        <v>2500</v>
      </c>
      <c r="N103">
        <v>9</v>
      </c>
      <c r="O103" s="8"/>
      <c r="Q103" s="3">
        <v>8</v>
      </c>
      <c r="R103">
        <v>2100</v>
      </c>
    </row>
    <row r="104" spans="12:18" x14ac:dyDescent="0.35">
      <c r="L104" s="3" t="s">
        <v>53</v>
      </c>
      <c r="M104" s="4">
        <v>2500</v>
      </c>
      <c r="N104">
        <v>8</v>
      </c>
      <c r="O104" s="8"/>
      <c r="Q104" s="3">
        <v>12</v>
      </c>
      <c r="R104">
        <v>3500</v>
      </c>
    </row>
    <row r="105" spans="12:18" x14ac:dyDescent="0.35">
      <c r="L105" s="3" t="s">
        <v>123</v>
      </c>
      <c r="M105" s="4">
        <v>2400</v>
      </c>
      <c r="N105">
        <v>8</v>
      </c>
      <c r="O105" s="8"/>
      <c r="Q105" s="3">
        <v>9</v>
      </c>
      <c r="R105">
        <v>4800</v>
      </c>
    </row>
    <row r="106" spans="12:18" x14ac:dyDescent="0.35">
      <c r="L106" s="3" t="s">
        <v>131</v>
      </c>
      <c r="M106" s="4">
        <v>2400</v>
      </c>
      <c r="N106">
        <v>7</v>
      </c>
      <c r="O106" s="8"/>
      <c r="Q106" s="3">
        <v>8</v>
      </c>
      <c r="R106">
        <v>2800</v>
      </c>
    </row>
    <row r="107" spans="12:18" x14ac:dyDescent="0.35">
      <c r="L107" s="3" t="s">
        <v>132</v>
      </c>
      <c r="M107" s="4">
        <v>2200</v>
      </c>
      <c r="N107">
        <v>7</v>
      </c>
      <c r="O107" s="8"/>
      <c r="Q107" s="3">
        <v>13</v>
      </c>
      <c r="R107">
        <v>8300</v>
      </c>
    </row>
    <row r="108" spans="12:18" x14ac:dyDescent="0.35">
      <c r="L108" s="3" t="s">
        <v>124</v>
      </c>
      <c r="M108" s="4">
        <v>2200</v>
      </c>
      <c r="N108">
        <v>7</v>
      </c>
      <c r="O108" s="8"/>
      <c r="Q108" s="3">
        <v>8</v>
      </c>
      <c r="R108">
        <v>7400</v>
      </c>
    </row>
    <row r="109" spans="12:18" x14ac:dyDescent="0.35">
      <c r="L109" s="3" t="s">
        <v>115</v>
      </c>
      <c r="M109" s="4">
        <v>2100</v>
      </c>
      <c r="N109">
        <v>8</v>
      </c>
      <c r="O109" s="8"/>
      <c r="Q109" s="3">
        <v>9</v>
      </c>
      <c r="R109">
        <v>3200</v>
      </c>
    </row>
    <row r="110" spans="12:18" x14ac:dyDescent="0.35">
      <c r="L110" s="3" t="s">
        <v>143</v>
      </c>
      <c r="M110" s="4">
        <v>684416</v>
      </c>
      <c r="N110">
        <v>1004</v>
      </c>
      <c r="Q110" s="3"/>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CD7D3-06DB-47FD-8F81-695E55FBF62D}">
  <dimension ref="A1"/>
  <sheetViews>
    <sheetView tabSelected="1" zoomScaleNormal="100" workbookViewId="0">
      <selection activeCell="S16" sqref="S16"/>
    </sheetView>
  </sheetViews>
  <sheetFormatPr defaultRowHeight="14.5" x14ac:dyDescent="0.35"/>
  <cols>
    <col min="1" max="1" width="14" style="5" customWidth="1"/>
    <col min="2" max="9" width="8.7265625" style="5"/>
    <col min="10" max="10" width="8.6328125" style="5" customWidth="1"/>
    <col min="11" max="16384" width="8.7265625" style="5"/>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00CD7D-8C64-4DD5-8C8F-F91F7B2ECC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 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Sulaeman Tutu</dc:creator>
  <cp:lastModifiedBy>Sulaeman Tutu</cp:lastModifiedBy>
  <dcterms:created xsi:type="dcterms:W3CDTF">2025-11-13T10:45:45Z</dcterms:created>
  <dcterms:modified xsi:type="dcterms:W3CDTF">2025-11-15T00:53:02Z</dcterms:modified>
</cp:coreProperties>
</file>